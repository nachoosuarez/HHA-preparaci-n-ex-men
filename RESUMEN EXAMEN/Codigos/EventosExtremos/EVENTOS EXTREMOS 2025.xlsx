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Examen HHA\Scripts examen AA\"/>
    </mc:Choice>
  </mc:AlternateContent>
  <xr:revisionPtr revIDLastSave="0" documentId="13_ncr:1_{0C2504C2-0D6D-4FF1-9F64-6A4F88E4128A}" xr6:coauthVersionLast="47" xr6:coauthVersionMax="47" xr10:uidLastSave="{00000000-0000-0000-0000-000000000000}"/>
  <bookViews>
    <workbookView xWindow="0" yWindow="360" windowWidth="23256" windowHeight="12456" activeTab="5" xr2:uid="{00000000-000D-0000-FFFF-FFFF00000000}"/>
  </bookViews>
  <sheets>
    <sheet name="método racional" sheetId="1" r:id="rId1"/>
    <sheet name="NRCS - Gande" sheetId="2" r:id="rId2"/>
    <sheet name="NRCS - Chica" sheetId="3" r:id="rId3"/>
    <sheet name="5.2 Racional" sheetId="4" r:id="rId4"/>
    <sheet name="5.2 NRCS" sheetId="5" r:id="rId5"/>
    <sheet name="EJ 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6" l="1"/>
  <c r="B24" i="6"/>
  <c r="B57" i="6"/>
  <c r="D57" i="6" s="1"/>
  <c r="F57" i="6" s="1"/>
  <c r="H57" i="6" s="1"/>
  <c r="D56" i="6"/>
  <c r="F56" i="6" s="1"/>
  <c r="H56" i="6" s="1"/>
  <c r="B43" i="6"/>
  <c r="C37" i="6"/>
  <c r="C36" i="6"/>
  <c r="C35" i="6"/>
  <c r="C34" i="6"/>
  <c r="C33" i="6"/>
  <c r="C32" i="6"/>
  <c r="C31" i="6"/>
  <c r="C30" i="6"/>
  <c r="C29" i="6"/>
  <c r="C28" i="6"/>
  <c r="A28" i="6"/>
  <c r="B25" i="6"/>
  <c r="B18" i="6"/>
  <c r="B15" i="6"/>
  <c r="E140" i="5"/>
  <c r="E138" i="5"/>
  <c r="E136" i="5"/>
  <c r="E133" i="5"/>
  <c r="E131" i="5"/>
  <c r="E130" i="5"/>
  <c r="E123" i="5"/>
  <c r="E121" i="5"/>
  <c r="E117" i="5"/>
  <c r="E115" i="5"/>
  <c r="E114" i="5"/>
  <c r="E111" i="5"/>
  <c r="E104" i="5"/>
  <c r="E103" i="5"/>
  <c r="E102" i="5"/>
  <c r="E101" i="5"/>
  <c r="E100" i="5"/>
  <c r="E95" i="5"/>
  <c r="E93" i="5"/>
  <c r="E90" i="5"/>
  <c r="E88" i="5"/>
  <c r="E85" i="5"/>
  <c r="E83" i="5"/>
  <c r="E82" i="5"/>
  <c r="E81" i="5"/>
  <c r="E78" i="5"/>
  <c r="E75" i="5"/>
  <c r="E74" i="5"/>
  <c r="E72" i="5"/>
  <c r="E71" i="5"/>
  <c r="E69" i="5"/>
  <c r="E68" i="5"/>
  <c r="E65" i="5"/>
  <c r="E64" i="5"/>
  <c r="E61" i="5"/>
  <c r="E60" i="5"/>
  <c r="E59" i="5"/>
  <c r="E58" i="5"/>
  <c r="E56" i="5"/>
  <c r="E55" i="5"/>
  <c r="E52" i="5"/>
  <c r="E51" i="5"/>
  <c r="E48" i="5"/>
  <c r="B44" i="5"/>
  <c r="E42" i="5"/>
  <c r="B42" i="5"/>
  <c r="B40" i="5"/>
  <c r="B20" i="5"/>
  <c r="B22" i="5" s="1"/>
  <c r="K17" i="5"/>
  <c r="I17" i="5"/>
  <c r="K16" i="5"/>
  <c r="I16" i="5"/>
  <c r="K15" i="5"/>
  <c r="I15" i="5"/>
  <c r="K14" i="5"/>
  <c r="I14" i="5"/>
  <c r="K13" i="5"/>
  <c r="I13" i="5"/>
  <c r="K12" i="5"/>
  <c r="I12" i="5"/>
  <c r="K11" i="5"/>
  <c r="I11" i="5"/>
  <c r="K10" i="5"/>
  <c r="I10" i="5"/>
  <c r="B10" i="5"/>
  <c r="K9" i="5"/>
  <c r="I9" i="5"/>
  <c r="K8" i="5"/>
  <c r="I8" i="5"/>
  <c r="K7" i="5"/>
  <c r="I7" i="5"/>
  <c r="K6" i="5"/>
  <c r="I6" i="5"/>
  <c r="G6" i="5"/>
  <c r="G17" i="5" s="1"/>
  <c r="D47" i="4"/>
  <c r="F46" i="4"/>
  <c r="H43" i="4"/>
  <c r="D31" i="4"/>
  <c r="F30" i="4"/>
  <c r="H29" i="4"/>
  <c r="H28" i="4"/>
  <c r="F26" i="4" s="1"/>
  <c r="D26" i="4" s="1"/>
  <c r="H27" i="4"/>
  <c r="B25" i="4"/>
  <c r="D14" i="4"/>
  <c r="F13" i="4"/>
  <c r="H11" i="4" s="1"/>
  <c r="H12" i="4"/>
  <c r="H10" i="4"/>
  <c r="F9" i="4" s="1"/>
  <c r="D9" i="4" s="1"/>
  <c r="B8" i="4"/>
  <c r="B20" i="3"/>
  <c r="B22" i="3" s="1"/>
  <c r="K17" i="3"/>
  <c r="I17" i="3"/>
  <c r="G17" i="3"/>
  <c r="K16" i="3"/>
  <c r="I16" i="3"/>
  <c r="K15" i="3"/>
  <c r="I15" i="3"/>
  <c r="K14" i="3"/>
  <c r="I14" i="3"/>
  <c r="K13" i="3"/>
  <c r="I13" i="3"/>
  <c r="G13" i="3"/>
  <c r="K12" i="3"/>
  <c r="I12" i="3"/>
  <c r="K11" i="3"/>
  <c r="I11" i="3"/>
  <c r="G11" i="3"/>
  <c r="J11" i="3" s="1"/>
  <c r="K10" i="3"/>
  <c r="I10" i="3"/>
  <c r="K9" i="3"/>
  <c r="I9" i="3"/>
  <c r="K8" i="3"/>
  <c r="I8" i="3"/>
  <c r="K7" i="3"/>
  <c r="I7" i="3"/>
  <c r="K6" i="3"/>
  <c r="I6" i="3"/>
  <c r="G6" i="3"/>
  <c r="B6" i="3"/>
  <c r="B22" i="2"/>
  <c r="B20" i="2"/>
  <c r="K17" i="2"/>
  <c r="I17" i="2"/>
  <c r="K16" i="2"/>
  <c r="I16" i="2"/>
  <c r="K15" i="2"/>
  <c r="I15" i="2"/>
  <c r="K14" i="2"/>
  <c r="I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D7" i="2"/>
  <c r="K6" i="2"/>
  <c r="I6" i="2"/>
  <c r="B6" i="2"/>
  <c r="D15" i="1"/>
  <c r="O14" i="1"/>
  <c r="S10" i="1"/>
  <c r="H10" i="1"/>
  <c r="O8" i="1"/>
  <c r="M5" i="1"/>
  <c r="Q13" i="1" s="1"/>
  <c r="B5" i="1"/>
  <c r="F13" i="1" s="1"/>
  <c r="F3" i="1"/>
  <c r="D33" i="6" l="1"/>
  <c r="B49" i="6"/>
  <c r="D28" i="6"/>
  <c r="E28" i="6" s="1"/>
  <c r="F28" i="6" s="1"/>
  <c r="G28" i="6" s="1"/>
  <c r="D37" i="6"/>
  <c r="H11" i="1"/>
  <c r="H12" i="1"/>
  <c r="S12" i="1"/>
  <c r="S11" i="1"/>
  <c r="Q9" i="1" s="1"/>
  <c r="O9" i="1" s="1"/>
  <c r="M8" i="1" s="1"/>
  <c r="H11" i="3"/>
  <c r="L11" i="3" s="1"/>
  <c r="J17" i="5"/>
  <c r="H17" i="5"/>
  <c r="L17" i="5" s="1"/>
  <c r="B10" i="2"/>
  <c r="G6" i="2"/>
  <c r="B40" i="2"/>
  <c r="H44" i="4"/>
  <c r="H45" i="4"/>
  <c r="H6" i="5"/>
  <c r="G13" i="5"/>
  <c r="G15" i="5"/>
  <c r="G7" i="5"/>
  <c r="G16" i="5"/>
  <c r="G12" i="5"/>
  <c r="G10" i="5"/>
  <c r="J6" i="5"/>
  <c r="G14" i="5"/>
  <c r="G9" i="5"/>
  <c r="G11" i="5"/>
  <c r="G8" i="5"/>
  <c r="H13" i="3"/>
  <c r="J13" i="3"/>
  <c r="J17" i="3"/>
  <c r="H17" i="3"/>
  <c r="L17" i="3" s="1"/>
  <c r="B40" i="3"/>
  <c r="B10" i="3"/>
  <c r="G7" i="3"/>
  <c r="G15" i="3"/>
  <c r="G12" i="3"/>
  <c r="G14" i="3"/>
  <c r="G10" i="3"/>
  <c r="J6" i="3"/>
  <c r="G16" i="3"/>
  <c r="G8" i="3"/>
  <c r="G9" i="3"/>
  <c r="H6" i="3"/>
  <c r="L6" i="3" s="1"/>
  <c r="M6" i="3" s="1"/>
  <c r="N12" i="3" s="1"/>
  <c r="A32" i="6"/>
  <c r="A33" i="6"/>
  <c r="A30" i="6"/>
  <c r="A29" i="6"/>
  <c r="A31" i="6"/>
  <c r="D36" i="6"/>
  <c r="D32" i="6"/>
  <c r="D35" i="6"/>
  <c r="D30" i="6"/>
  <c r="D34" i="6"/>
  <c r="B46" i="5"/>
  <c r="E134" i="5"/>
  <c r="E98" i="5"/>
  <c r="E135" i="5"/>
  <c r="E124" i="5"/>
  <c r="E139" i="5"/>
  <c r="E126" i="5"/>
  <c r="E119" i="5"/>
  <c r="E99" i="5"/>
  <c r="E96" i="5"/>
  <c r="E132" i="5"/>
  <c r="E110" i="5"/>
  <c r="E87" i="5"/>
  <c r="E67" i="5"/>
  <c r="E62" i="5"/>
  <c r="E141" i="5"/>
  <c r="E125" i="5"/>
  <c r="E105" i="5"/>
  <c r="E94" i="5"/>
  <c r="E57" i="5"/>
  <c r="E47" i="5"/>
  <c r="E127" i="5"/>
  <c r="E112" i="5"/>
  <c r="E77" i="5"/>
  <c r="E50" i="5"/>
  <c r="E108" i="5"/>
  <c r="E106" i="5"/>
  <c r="E70" i="5"/>
  <c r="E53" i="5"/>
  <c r="E43" i="5"/>
  <c r="E122" i="5"/>
  <c r="E120" i="5"/>
  <c r="E118" i="5"/>
  <c r="E107" i="5"/>
  <c r="E97" i="5"/>
  <c r="E45" i="5"/>
  <c r="E41" i="5"/>
  <c r="E128" i="5"/>
  <c r="E109" i="5"/>
  <c r="E89" i="5"/>
  <c r="E137" i="5"/>
  <c r="E91" i="5"/>
  <c r="E84" i="5"/>
  <c r="E113" i="5"/>
  <c r="E86" i="5"/>
  <c r="E80" i="5"/>
  <c r="E116" i="5"/>
  <c r="E92" i="5"/>
  <c r="E73" i="5"/>
  <c r="E76" i="5"/>
  <c r="E66" i="5"/>
  <c r="E54" i="5"/>
  <c r="E49" i="5"/>
  <c r="E44" i="5"/>
  <c r="E46" i="5"/>
  <c r="E63" i="5"/>
  <c r="E79" i="5"/>
  <c r="E129" i="5"/>
  <c r="D31" i="6"/>
  <c r="D29" i="6"/>
  <c r="E34" i="6" l="1"/>
  <c r="F34" i="6" s="1"/>
  <c r="E33" i="6"/>
  <c r="F33" i="6" s="1"/>
  <c r="G33" i="6" s="1"/>
  <c r="E29" i="6"/>
  <c r="F29" i="6" s="1"/>
  <c r="G29" i="6" s="1"/>
  <c r="E31" i="6"/>
  <c r="F31" i="6" s="1"/>
  <c r="G31" i="6" s="1"/>
  <c r="F116" i="5"/>
  <c r="F113" i="5"/>
  <c r="F91" i="5"/>
  <c r="F137" i="5"/>
  <c r="F44" i="5"/>
  <c r="F124" i="5"/>
  <c r="J10" i="3"/>
  <c r="H10" i="3"/>
  <c r="H12" i="3"/>
  <c r="J12" i="3"/>
  <c r="F47" i="5"/>
  <c r="J14" i="3"/>
  <c r="H14" i="3"/>
  <c r="L14" i="3" s="1"/>
  <c r="M14" i="3" s="1"/>
  <c r="N16" i="3" s="1"/>
  <c r="H8" i="5"/>
  <c r="J8" i="5"/>
  <c r="J11" i="5"/>
  <c r="H11" i="5"/>
  <c r="J9" i="5"/>
  <c r="H9" i="5"/>
  <c r="L9" i="5" s="1"/>
  <c r="H16" i="5"/>
  <c r="J16" i="5"/>
  <c r="E30" i="6"/>
  <c r="F30" i="6" s="1"/>
  <c r="G30" i="6" s="1"/>
  <c r="E35" i="6"/>
  <c r="F35" i="6" s="1"/>
  <c r="J9" i="3"/>
  <c r="H9" i="3"/>
  <c r="L9" i="3" s="1"/>
  <c r="M9" i="3" s="1"/>
  <c r="N10" i="3" s="1"/>
  <c r="H13" i="5"/>
  <c r="J13" i="5"/>
  <c r="F42" i="4"/>
  <c r="D42" i="4" s="1"/>
  <c r="B41" i="4" s="1"/>
  <c r="E226" i="3"/>
  <c r="E221" i="3"/>
  <c r="E217" i="3"/>
  <c r="E210" i="3"/>
  <c r="E204" i="3"/>
  <c r="E194" i="3"/>
  <c r="E178" i="3"/>
  <c r="E168" i="3"/>
  <c r="E162" i="3"/>
  <c r="E155" i="3"/>
  <c r="E151" i="3"/>
  <c r="E146" i="3"/>
  <c r="E138" i="3"/>
  <c r="E224" i="3"/>
  <c r="E215" i="3"/>
  <c r="E208" i="3"/>
  <c r="E202" i="3"/>
  <c r="E185" i="3"/>
  <c r="E179" i="3"/>
  <c r="E170" i="3"/>
  <c r="E165" i="3"/>
  <c r="E153" i="3"/>
  <c r="E132" i="3"/>
  <c r="E102" i="3"/>
  <c r="E88" i="3"/>
  <c r="E66" i="3"/>
  <c r="E52" i="3"/>
  <c r="E229" i="3"/>
  <c r="E211" i="3"/>
  <c r="E189" i="3"/>
  <c r="E175" i="3"/>
  <c r="E150" i="3"/>
  <c r="E133" i="3"/>
  <c r="E114" i="3"/>
  <c r="E86" i="3"/>
  <c r="E68" i="3"/>
  <c r="E209" i="3"/>
  <c r="E193" i="3"/>
  <c r="E183" i="3"/>
  <c r="E161" i="3"/>
  <c r="E145" i="3"/>
  <c r="E103" i="3"/>
  <c r="E89" i="3"/>
  <c r="E87" i="3"/>
  <c r="E85" i="3"/>
  <c r="E83" i="3"/>
  <c r="E81" i="3"/>
  <c r="E74" i="3"/>
  <c r="E69" i="3"/>
  <c r="E222" i="3"/>
  <c r="E174" i="3"/>
  <c r="E134" i="3"/>
  <c r="E126" i="3"/>
  <c r="E118" i="3"/>
  <c r="E98" i="3"/>
  <c r="E228" i="3"/>
  <c r="E205" i="3"/>
  <c r="E190" i="3"/>
  <c r="E181" i="3"/>
  <c r="E171" i="3"/>
  <c r="E129" i="3"/>
  <c r="E58" i="3"/>
  <c r="E54" i="3"/>
  <c r="E50" i="3"/>
  <c r="E219" i="3"/>
  <c r="E200" i="3"/>
  <c r="E144" i="3"/>
  <c r="E213" i="3"/>
  <c r="E196" i="3"/>
  <c r="E173" i="3"/>
  <c r="E149" i="3"/>
  <c r="E127" i="3"/>
  <c r="B42" i="3"/>
  <c r="E220" i="3"/>
  <c r="E212" i="3"/>
  <c r="E167" i="3"/>
  <c r="E164" i="3"/>
  <c r="E148" i="3"/>
  <c r="E136" i="3"/>
  <c r="E125" i="3"/>
  <c r="E101" i="3"/>
  <c r="E94" i="3"/>
  <c r="E62" i="3"/>
  <c r="E53" i="3"/>
  <c r="E227" i="3"/>
  <c r="E96" i="3"/>
  <c r="E72" i="3"/>
  <c r="E44" i="3"/>
  <c r="E201" i="3"/>
  <c r="E197" i="3"/>
  <c r="E172" i="3"/>
  <c r="E159" i="3"/>
  <c r="E152" i="3"/>
  <c r="E123" i="3"/>
  <c r="E121" i="3"/>
  <c r="E119" i="3"/>
  <c r="E84" i="3"/>
  <c r="E49" i="3"/>
  <c r="E117" i="3"/>
  <c r="E206" i="3"/>
  <c r="E192" i="3"/>
  <c r="E166" i="3"/>
  <c r="E154" i="3"/>
  <c r="E115" i="3"/>
  <c r="E113" i="3"/>
  <c r="E111" i="3"/>
  <c r="E109" i="3"/>
  <c r="E107" i="3"/>
  <c r="E78" i="3"/>
  <c r="E57" i="3"/>
  <c r="E218" i="3"/>
  <c r="E225" i="3"/>
  <c r="E184" i="3"/>
  <c r="E180" i="3"/>
  <c r="E147" i="3"/>
  <c r="E139" i="3"/>
  <c r="E48" i="3"/>
  <c r="E223" i="3"/>
  <c r="E176" i="3"/>
  <c r="E160" i="3"/>
  <c r="E157" i="3"/>
  <c r="E141" i="3"/>
  <c r="E122" i="3"/>
  <c r="E108" i="3"/>
  <c r="E105" i="3"/>
  <c r="E99" i="3"/>
  <c r="E92" i="3"/>
  <c r="E61" i="3"/>
  <c r="E42" i="3"/>
  <c r="E91" i="3"/>
  <c r="E163" i="3"/>
  <c r="E110" i="3"/>
  <c r="E130" i="3"/>
  <c r="E80" i="3"/>
  <c r="E76" i="3"/>
  <c r="E60" i="3"/>
  <c r="E55" i="3"/>
  <c r="E156" i="3"/>
  <c r="E195" i="3"/>
  <c r="E116" i="3"/>
  <c r="E71" i="3"/>
  <c r="E203" i="3"/>
  <c r="E95" i="3"/>
  <c r="E143" i="3"/>
  <c r="E124" i="3"/>
  <c r="E104" i="3"/>
  <c r="E135" i="3"/>
  <c r="E70" i="3"/>
  <c r="E65" i="3"/>
  <c r="E41" i="3"/>
  <c r="E199" i="3"/>
  <c r="E106" i="3"/>
  <c r="E198" i="3"/>
  <c r="E187" i="3"/>
  <c r="E100" i="3"/>
  <c r="E82" i="3"/>
  <c r="E47" i="3"/>
  <c r="E67" i="3"/>
  <c r="E46" i="3"/>
  <c r="E214" i="3"/>
  <c r="E177" i="3"/>
  <c r="E140" i="3"/>
  <c r="E182" i="3"/>
  <c r="E73" i="3"/>
  <c r="E112" i="3"/>
  <c r="E59" i="3"/>
  <c r="E45" i="3"/>
  <c r="E191" i="3"/>
  <c r="E131" i="3"/>
  <c r="E120" i="3"/>
  <c r="E43" i="3"/>
  <c r="E169" i="3"/>
  <c r="E90" i="3"/>
  <c r="E207" i="3"/>
  <c r="E79" i="3"/>
  <c r="E97" i="3"/>
  <c r="E137" i="3"/>
  <c r="E128" i="3"/>
  <c r="E158" i="3"/>
  <c r="E216" i="3"/>
  <c r="E56" i="3"/>
  <c r="E63" i="3"/>
  <c r="E142" i="3"/>
  <c r="E64" i="3"/>
  <c r="E93" i="3"/>
  <c r="E77" i="3"/>
  <c r="E75" i="3"/>
  <c r="E188" i="3"/>
  <c r="E51" i="3"/>
  <c r="E186" i="3"/>
  <c r="H10" i="5"/>
  <c r="L10" i="5" s="1"/>
  <c r="M10" i="5" s="1"/>
  <c r="N14" i="5" s="1"/>
  <c r="J10" i="5"/>
  <c r="E32" i="6"/>
  <c r="F32" i="6" s="1"/>
  <c r="G32" i="6" s="1"/>
  <c r="J8" i="3"/>
  <c r="H8" i="3"/>
  <c r="L8" i="3" s="1"/>
  <c r="H15" i="3"/>
  <c r="L15" i="3" s="1"/>
  <c r="J15" i="3"/>
  <c r="H7" i="3"/>
  <c r="J7" i="3"/>
  <c r="G10" i="2"/>
  <c r="G16" i="2"/>
  <c r="G8" i="2"/>
  <c r="G12" i="2"/>
  <c r="J6" i="2"/>
  <c r="H6" i="2"/>
  <c r="L6" i="2" s="1"/>
  <c r="M6" i="2" s="1"/>
  <c r="N12" i="2" s="1"/>
  <c r="G9" i="2"/>
  <c r="G7" i="2"/>
  <c r="G14" i="2"/>
  <c r="G15" i="2"/>
  <c r="G17" i="2"/>
  <c r="G11" i="2"/>
  <c r="G13" i="2"/>
  <c r="C50" i="5"/>
  <c r="C51" i="5"/>
  <c r="F94" i="5" s="1"/>
  <c r="C48" i="5"/>
  <c r="F41" i="5" s="1"/>
  <c r="F86" i="5"/>
  <c r="J15" i="5"/>
  <c r="H15" i="5"/>
  <c r="L15" i="5" s="1"/>
  <c r="M15" i="5" s="1"/>
  <c r="N7" i="5" s="1"/>
  <c r="F129" i="5"/>
  <c r="E36" i="6"/>
  <c r="F36" i="6" s="1"/>
  <c r="H16" i="3"/>
  <c r="J16" i="3"/>
  <c r="L13" i="3"/>
  <c r="E37" i="6"/>
  <c r="F37" i="6" s="1"/>
  <c r="F9" i="1"/>
  <c r="D9" i="1" s="1"/>
  <c r="B8" i="1" s="1"/>
  <c r="F97" i="5"/>
  <c r="E209" i="2"/>
  <c r="E191" i="2"/>
  <c r="E181" i="2"/>
  <c r="E163" i="2"/>
  <c r="E128" i="2"/>
  <c r="E224" i="2"/>
  <c r="E212" i="2"/>
  <c r="E203" i="2"/>
  <c r="E221" i="2"/>
  <c r="E205" i="2"/>
  <c r="E202" i="2"/>
  <c r="E199" i="2"/>
  <c r="E154" i="2"/>
  <c r="E226" i="2"/>
  <c r="E216" i="2"/>
  <c r="E208" i="2"/>
  <c r="E196" i="2"/>
  <c r="E182" i="2"/>
  <c r="E171" i="2"/>
  <c r="E151" i="2"/>
  <c r="E147" i="2"/>
  <c r="E222" i="2"/>
  <c r="E217" i="2"/>
  <c r="E204" i="2"/>
  <c r="E186" i="2"/>
  <c r="E177" i="2"/>
  <c r="E144" i="2"/>
  <c r="E132" i="2"/>
  <c r="E119" i="2"/>
  <c r="E99" i="2"/>
  <c r="E96" i="2"/>
  <c r="E58" i="2"/>
  <c r="E55" i="2"/>
  <c r="E49" i="2"/>
  <c r="B42" i="2"/>
  <c r="E197" i="2"/>
  <c r="E179" i="2"/>
  <c r="E165" i="2"/>
  <c r="E153" i="2"/>
  <c r="E114" i="2"/>
  <c r="E86" i="2"/>
  <c r="E68" i="2"/>
  <c r="E228" i="2"/>
  <c r="E200" i="2"/>
  <c r="E194" i="2"/>
  <c r="E140" i="2"/>
  <c r="E133" i="2"/>
  <c r="E126" i="2"/>
  <c r="E110" i="2"/>
  <c r="E106" i="2"/>
  <c r="E91" i="2"/>
  <c r="E63" i="2"/>
  <c r="E45" i="2"/>
  <c r="E227" i="2"/>
  <c r="E193" i="2"/>
  <c r="E183" i="2"/>
  <c r="E145" i="2"/>
  <c r="E141" i="2"/>
  <c r="E127" i="2"/>
  <c r="E225" i="2"/>
  <c r="E161" i="2"/>
  <c r="E44" i="2"/>
  <c r="E210" i="2"/>
  <c r="E188" i="2"/>
  <c r="E185" i="2"/>
  <c r="E120" i="2"/>
  <c r="E48" i="2"/>
  <c r="E201" i="2"/>
  <c r="E189" i="2"/>
  <c r="E146" i="2"/>
  <c r="E117" i="2"/>
  <c r="E112" i="2"/>
  <c r="E77" i="2"/>
  <c r="E69" i="2"/>
  <c r="E168" i="2"/>
  <c r="E92" i="2"/>
  <c r="E56" i="2"/>
  <c r="E176" i="2"/>
  <c r="E152" i="2"/>
  <c r="E150" i="2"/>
  <c r="E139" i="2"/>
  <c r="E125" i="2"/>
  <c r="E98" i="2"/>
  <c r="E94" i="2"/>
  <c r="E192" i="2"/>
  <c r="E142" i="2"/>
  <c r="E74" i="2"/>
  <c r="E66" i="2"/>
  <c r="E137" i="2"/>
  <c r="E131" i="2"/>
  <c r="E123" i="2"/>
  <c r="E59" i="2"/>
  <c r="E195" i="2"/>
  <c r="E173" i="2"/>
  <c r="E170" i="2"/>
  <c r="E158" i="2"/>
  <c r="E108" i="2"/>
  <c r="E76" i="2"/>
  <c r="E71" i="2"/>
  <c r="E62" i="2"/>
  <c r="E51" i="2"/>
  <c r="E129" i="2"/>
  <c r="E124" i="2"/>
  <c r="E100" i="2"/>
  <c r="E84" i="2"/>
  <c r="E116" i="2"/>
  <c r="E218" i="2"/>
  <c r="E207" i="2"/>
  <c r="E169" i="2"/>
  <c r="E121" i="2"/>
  <c r="E229" i="2"/>
  <c r="E215" i="2"/>
  <c r="E187" i="2"/>
  <c r="E105" i="2"/>
  <c r="E90" i="2"/>
  <c r="E83" i="2"/>
  <c r="E67" i="2"/>
  <c r="E164" i="2"/>
  <c r="E155" i="2"/>
  <c r="E135" i="2"/>
  <c r="E72" i="2"/>
  <c r="E180" i="2"/>
  <c r="E70" i="2"/>
  <c r="E60" i="2"/>
  <c r="E219" i="2"/>
  <c r="E206" i="2"/>
  <c r="E118" i="2"/>
  <c r="E81" i="2"/>
  <c r="E61" i="2"/>
  <c r="E175" i="2"/>
  <c r="E159" i="2"/>
  <c r="E149" i="2"/>
  <c r="E138" i="2"/>
  <c r="E122" i="2"/>
  <c r="E111" i="2"/>
  <c r="E85" i="2"/>
  <c r="E54" i="2"/>
  <c r="E41" i="2"/>
  <c r="E53" i="2"/>
  <c r="E214" i="2"/>
  <c r="E104" i="2"/>
  <c r="E97" i="2"/>
  <c r="E93" i="2"/>
  <c r="E89" i="2"/>
  <c r="E65" i="2"/>
  <c r="E47" i="2"/>
  <c r="E174" i="2"/>
  <c r="E107" i="2"/>
  <c r="E80" i="2"/>
  <c r="E172" i="2"/>
  <c r="E157" i="2"/>
  <c r="E134" i="2"/>
  <c r="E103" i="2"/>
  <c r="E79" i="2"/>
  <c r="E82" i="2"/>
  <c r="E220" i="2"/>
  <c r="E115" i="2"/>
  <c r="E101" i="2"/>
  <c r="E42" i="2"/>
  <c r="E75" i="2"/>
  <c r="E46" i="2"/>
  <c r="E211" i="2"/>
  <c r="E184" i="2"/>
  <c r="E167" i="2"/>
  <c r="E143" i="2"/>
  <c r="E57" i="2"/>
  <c r="E190" i="2"/>
  <c r="E87" i="2"/>
  <c r="E43" i="2"/>
  <c r="E95" i="2"/>
  <c r="E130" i="2"/>
  <c r="E109" i="2"/>
  <c r="E178" i="2"/>
  <c r="E73" i="2"/>
  <c r="E198" i="2"/>
  <c r="E52" i="2"/>
  <c r="E223" i="2"/>
  <c r="E102" i="2"/>
  <c r="E113" i="2"/>
  <c r="E166" i="2"/>
  <c r="E156" i="2"/>
  <c r="E88" i="2"/>
  <c r="E162" i="2"/>
  <c r="E148" i="2"/>
  <c r="E160" i="2"/>
  <c r="E136" i="2"/>
  <c r="E78" i="2"/>
  <c r="E213" i="2"/>
  <c r="E64" i="2"/>
  <c r="E50" i="2"/>
  <c r="J14" i="5"/>
  <c r="H14" i="5"/>
  <c r="L14" i="5" s="1"/>
  <c r="F120" i="5"/>
  <c r="H12" i="5"/>
  <c r="J12" i="5"/>
  <c r="J7" i="5"/>
  <c r="H7" i="5"/>
  <c r="L7" i="5" s="1"/>
  <c r="F46" i="5"/>
  <c r="L6" i="5"/>
  <c r="M6" i="5" s="1"/>
  <c r="N12" i="5" s="1"/>
  <c r="G38" i="6" l="1"/>
  <c r="B42" i="6" s="1"/>
  <c r="B45" i="6" s="1"/>
  <c r="L12" i="5"/>
  <c r="F101" i="5"/>
  <c r="F131" i="5"/>
  <c r="F90" i="5"/>
  <c r="F115" i="5"/>
  <c r="F123" i="5"/>
  <c r="F133" i="5"/>
  <c r="F130" i="5"/>
  <c r="F83" i="5"/>
  <c r="F136" i="5"/>
  <c r="F140" i="5"/>
  <c r="F126" i="5"/>
  <c r="F109" i="5"/>
  <c r="F141" i="5"/>
  <c r="F102" i="5"/>
  <c r="F88" i="5"/>
  <c r="F100" i="5"/>
  <c r="F138" i="5"/>
  <c r="F108" i="5"/>
  <c r="F89" i="5"/>
  <c r="F93" i="5"/>
  <c r="F111" i="5"/>
  <c r="F104" i="5"/>
  <c r="F85" i="5"/>
  <c r="F112" i="5"/>
  <c r="F110" i="5"/>
  <c r="F132" i="5"/>
  <c r="F114" i="5"/>
  <c r="F95" i="5"/>
  <c r="F98" i="5"/>
  <c r="F117" i="5"/>
  <c r="F99" i="5"/>
  <c r="F81" i="5"/>
  <c r="F82" i="5"/>
  <c r="F79" i="5"/>
  <c r="F106" i="5"/>
  <c r="F125" i="5"/>
  <c r="F103" i="5"/>
  <c r="F121" i="5"/>
  <c r="F105" i="5"/>
  <c r="F139" i="5"/>
  <c r="L16" i="5"/>
  <c r="L10" i="3"/>
  <c r="F128" i="5"/>
  <c r="L13" i="5"/>
  <c r="M13" i="5" s="1"/>
  <c r="N8" i="5" s="1"/>
  <c r="H10" i="2"/>
  <c r="L10" i="2" s="1"/>
  <c r="M10" i="2" s="1"/>
  <c r="N14" i="2" s="1"/>
  <c r="J10" i="2"/>
  <c r="F42" i="5"/>
  <c r="F74" i="5"/>
  <c r="F59" i="5"/>
  <c r="F52" i="5"/>
  <c r="F58" i="5"/>
  <c r="F75" i="5"/>
  <c r="F71" i="5"/>
  <c r="F65" i="5"/>
  <c r="F72" i="5"/>
  <c r="F56" i="5"/>
  <c r="F51" i="5"/>
  <c r="F63" i="5"/>
  <c r="F70" i="5"/>
  <c r="F43" i="5"/>
  <c r="F68" i="5"/>
  <c r="F60" i="5"/>
  <c r="F49" i="5"/>
  <c r="F48" i="5"/>
  <c r="F55" i="5"/>
  <c r="F61" i="5"/>
  <c r="F76" i="5"/>
  <c r="F78" i="5"/>
  <c r="F77" i="5"/>
  <c r="F50" i="5"/>
  <c r="F62" i="5"/>
  <c r="F53" i="5"/>
  <c r="F69" i="5"/>
  <c r="F64" i="5"/>
  <c r="J11" i="2"/>
  <c r="H11" i="2"/>
  <c r="L11" i="2" s="1"/>
  <c r="F45" i="5"/>
  <c r="F80" i="5"/>
  <c r="F84" i="5"/>
  <c r="F73" i="5"/>
  <c r="L8" i="5"/>
  <c r="M8" i="5" s="1"/>
  <c r="N13" i="5" s="1"/>
  <c r="H16" i="2"/>
  <c r="L16" i="2" s="1"/>
  <c r="M16" i="2" s="1"/>
  <c r="N17" i="2" s="1"/>
  <c r="J16" i="2"/>
  <c r="B44" i="3"/>
  <c r="B46" i="3"/>
  <c r="L7" i="3"/>
  <c r="M7" i="3" s="1"/>
  <c r="N11" i="3" s="1"/>
  <c r="L12" i="3"/>
  <c r="M12" i="3" s="1"/>
  <c r="N15" i="3" s="1"/>
  <c r="J13" i="2"/>
  <c r="H13" i="2"/>
  <c r="L13" i="2" s="1"/>
  <c r="F87" i="5"/>
  <c r="M13" i="3"/>
  <c r="N8" i="3" s="1"/>
  <c r="J17" i="2"/>
  <c r="H17" i="2"/>
  <c r="L17" i="2" s="1"/>
  <c r="J15" i="2"/>
  <c r="H15" i="2"/>
  <c r="L15" i="2" s="1"/>
  <c r="F122" i="5"/>
  <c r="F54" i="5"/>
  <c r="M8" i="3"/>
  <c r="N13" i="3" s="1"/>
  <c r="F67" i="5"/>
  <c r="L16" i="3"/>
  <c r="J14" i="2"/>
  <c r="H14" i="2"/>
  <c r="F134" i="5"/>
  <c r="F92" i="5"/>
  <c r="F127" i="5"/>
  <c r="B44" i="2"/>
  <c r="B46" i="2"/>
  <c r="M14" i="5"/>
  <c r="N16" i="5" s="1"/>
  <c r="M9" i="5"/>
  <c r="N10" i="5" s="1"/>
  <c r="J7" i="2"/>
  <c r="H7" i="2"/>
  <c r="F107" i="5"/>
  <c r="F118" i="5"/>
  <c r="F57" i="5"/>
  <c r="M7" i="5"/>
  <c r="N11" i="5" s="1"/>
  <c r="J12" i="2"/>
  <c r="H12" i="2"/>
  <c r="L12" i="2" s="1"/>
  <c r="H8" i="2"/>
  <c r="L8" i="2" s="1"/>
  <c r="J8" i="2"/>
  <c r="M15" i="3"/>
  <c r="N7" i="3" s="1"/>
  <c r="F66" i="5"/>
  <c r="F119" i="5"/>
  <c r="J9" i="2"/>
  <c r="H9" i="2"/>
  <c r="L9" i="2" s="1"/>
  <c r="M9" i="2" s="1"/>
  <c r="N10" i="2" s="1"/>
  <c r="L11" i="5"/>
  <c r="M11" i="5" s="1"/>
  <c r="N9" i="5" s="1"/>
  <c r="F135" i="5"/>
  <c r="F96" i="5"/>
  <c r="G39" i="6" l="1"/>
  <c r="M16" i="3"/>
  <c r="N17" i="3" s="1"/>
  <c r="M17" i="3"/>
  <c r="N6" i="3" s="1"/>
  <c r="C48" i="3"/>
  <c r="C50" i="3"/>
  <c r="C51" i="3"/>
  <c r="M10" i="3"/>
  <c r="N14" i="3" s="1"/>
  <c r="M11" i="3"/>
  <c r="N9" i="3" s="1"/>
  <c r="M12" i="2"/>
  <c r="N15" i="2" s="1"/>
  <c r="C51" i="2"/>
  <c r="C48" i="2"/>
  <c r="C50" i="2"/>
  <c r="M16" i="5"/>
  <c r="N17" i="5" s="1"/>
  <c r="M17" i="5"/>
  <c r="N6" i="5" s="1"/>
  <c r="M11" i="2"/>
  <c r="N9" i="2" s="1"/>
  <c r="M17" i="2"/>
  <c r="N6" i="2" s="1"/>
  <c r="M13" i="2"/>
  <c r="N8" i="2" s="1"/>
  <c r="L7" i="2"/>
  <c r="M7" i="2" s="1"/>
  <c r="N11" i="2" s="1"/>
  <c r="L14" i="2"/>
  <c r="M14" i="2" s="1"/>
  <c r="N16" i="2" s="1"/>
  <c r="M12" i="5"/>
  <c r="N15" i="5" s="1"/>
  <c r="M15" i="2" l="1"/>
  <c r="N7" i="2" s="1"/>
  <c r="O7" i="2"/>
  <c r="P7" i="2" s="1"/>
  <c r="O6" i="2"/>
  <c r="P6" i="2" s="1"/>
  <c r="Q6" i="2" s="1"/>
  <c r="O10" i="2"/>
  <c r="P10" i="2" s="1"/>
  <c r="O8" i="2"/>
  <c r="P8" i="2" s="1"/>
  <c r="Q8" i="2" s="1"/>
  <c r="O9" i="2"/>
  <c r="P9" i="2" s="1"/>
  <c r="Q9" i="2" s="1"/>
  <c r="R9" i="2" s="1"/>
  <c r="S9" i="2" s="1"/>
  <c r="O11" i="2"/>
  <c r="P11" i="2" s="1"/>
  <c r="Q11" i="2" s="1"/>
  <c r="R11" i="2" s="1"/>
  <c r="S11" i="2" s="1"/>
  <c r="R6" i="2"/>
  <c r="S6" i="2" s="1"/>
  <c r="O12" i="2"/>
  <c r="P12" i="2" s="1"/>
  <c r="F45" i="2"/>
  <c r="F49" i="2"/>
  <c r="F52" i="2"/>
  <c r="F57" i="2"/>
  <c r="F62" i="2"/>
  <c r="F60" i="2"/>
  <c r="F73" i="2"/>
  <c r="F51" i="2"/>
  <c r="F61" i="2"/>
  <c r="F66" i="2"/>
  <c r="F44" i="2"/>
  <c r="F78" i="2"/>
  <c r="F59" i="2"/>
  <c r="F76" i="2"/>
  <c r="F75" i="2"/>
  <c r="F54" i="2"/>
  <c r="F43" i="2"/>
  <c r="F72" i="2"/>
  <c r="F47" i="2"/>
  <c r="F46" i="2"/>
  <c r="F70" i="2"/>
  <c r="F71" i="2"/>
  <c r="F65" i="2"/>
  <c r="F77" i="2"/>
  <c r="F64" i="2"/>
  <c r="F48" i="2"/>
  <c r="F68" i="2"/>
  <c r="F67" i="2"/>
  <c r="F55" i="2"/>
  <c r="F53" i="2"/>
  <c r="F58" i="2"/>
  <c r="F41" i="2"/>
  <c r="F74" i="2"/>
  <c r="F56" i="2"/>
  <c r="F63" i="2"/>
  <c r="F69" i="2"/>
  <c r="F42" i="2"/>
  <c r="F50" i="2"/>
  <c r="F141" i="2"/>
  <c r="F104" i="2"/>
  <c r="F118" i="2"/>
  <c r="F96" i="2"/>
  <c r="F130" i="2"/>
  <c r="F100" i="2"/>
  <c r="F85" i="2"/>
  <c r="F120" i="2"/>
  <c r="F108" i="2"/>
  <c r="F136" i="2"/>
  <c r="F97" i="2"/>
  <c r="F95" i="2"/>
  <c r="F111" i="2"/>
  <c r="F109" i="2"/>
  <c r="F84" i="2"/>
  <c r="F115" i="2"/>
  <c r="F131" i="2"/>
  <c r="F93" i="2"/>
  <c r="F123" i="2"/>
  <c r="F135" i="2"/>
  <c r="F121" i="2"/>
  <c r="F124" i="2"/>
  <c r="F110" i="2"/>
  <c r="F139" i="2"/>
  <c r="F80" i="2"/>
  <c r="F98" i="2"/>
  <c r="F105" i="2"/>
  <c r="F113" i="2"/>
  <c r="F89" i="2"/>
  <c r="F103" i="2"/>
  <c r="F90" i="2"/>
  <c r="F99" i="2"/>
  <c r="F91" i="2"/>
  <c r="F114" i="2"/>
  <c r="F101" i="2"/>
  <c r="F82" i="2"/>
  <c r="F79" i="2"/>
  <c r="F107" i="2"/>
  <c r="F106" i="2"/>
  <c r="F119" i="2"/>
  <c r="F94" i="2"/>
  <c r="F83" i="2"/>
  <c r="F86" i="2"/>
  <c r="F117" i="2"/>
  <c r="F88" i="2"/>
  <c r="F81" i="2"/>
  <c r="F137" i="2"/>
  <c r="F102" i="2"/>
  <c r="F112" i="2"/>
  <c r="F140" i="2"/>
  <c r="F133" i="2"/>
  <c r="F128" i="2"/>
  <c r="F116" i="2"/>
  <c r="F138" i="2"/>
  <c r="F126" i="2"/>
  <c r="F134" i="2"/>
  <c r="F92" i="2"/>
  <c r="F87" i="2"/>
  <c r="F132" i="2"/>
  <c r="F129" i="2"/>
  <c r="F127" i="2"/>
  <c r="F122" i="2"/>
  <c r="F125" i="2"/>
  <c r="M8" i="2"/>
  <c r="N13" i="2" s="1"/>
  <c r="O15" i="2" s="1"/>
  <c r="P15" i="2" s="1"/>
  <c r="O16" i="5"/>
  <c r="P16" i="5" s="1"/>
  <c r="Q16" i="5" s="1"/>
  <c r="R16" i="5" s="1"/>
  <c r="S16" i="5" s="1"/>
  <c r="R6" i="5"/>
  <c r="S6" i="5" s="1"/>
  <c r="O11" i="5"/>
  <c r="P11" i="5" s="1"/>
  <c r="O13" i="5"/>
  <c r="P13" i="5" s="1"/>
  <c r="O14" i="5"/>
  <c r="P14" i="5" s="1"/>
  <c r="Q14" i="5" s="1"/>
  <c r="R14" i="5" s="1"/>
  <c r="S14" i="5" s="1"/>
  <c r="O17" i="5"/>
  <c r="P17" i="5" s="1"/>
  <c r="O6" i="5"/>
  <c r="P6" i="5" s="1"/>
  <c r="Q6" i="5" s="1"/>
  <c r="O15" i="5"/>
  <c r="P15" i="5" s="1"/>
  <c r="Q15" i="5" s="1"/>
  <c r="R15" i="5" s="1"/>
  <c r="S15" i="5" s="1"/>
  <c r="O7" i="5"/>
  <c r="P7" i="5" s="1"/>
  <c r="Q7" i="5" s="1"/>
  <c r="R7" i="5" s="1"/>
  <c r="S7" i="5" s="1"/>
  <c r="O9" i="5"/>
  <c r="P9" i="5" s="1"/>
  <c r="O12" i="5"/>
  <c r="P12" i="5" s="1"/>
  <c r="Q12" i="5" s="1"/>
  <c r="R12" i="5" s="1"/>
  <c r="S12" i="5" s="1"/>
  <c r="O10" i="5"/>
  <c r="P10" i="5" s="1"/>
  <c r="Q10" i="5" s="1"/>
  <c r="R10" i="5" s="1"/>
  <c r="S10" i="5" s="1"/>
  <c r="O8" i="5"/>
  <c r="P8" i="5" s="1"/>
  <c r="Q8" i="5" s="1"/>
  <c r="R8" i="5" s="1"/>
  <c r="S8" i="5" s="1"/>
  <c r="R8" i="2"/>
  <c r="S8" i="2"/>
  <c r="F110" i="3"/>
  <c r="F86" i="3"/>
  <c r="F111" i="3"/>
  <c r="F112" i="3"/>
  <c r="F127" i="3"/>
  <c r="F135" i="3"/>
  <c r="F136" i="3"/>
  <c r="F126" i="3"/>
  <c r="F132" i="3"/>
  <c r="F106" i="3"/>
  <c r="F79" i="3"/>
  <c r="F109" i="3"/>
  <c r="F133" i="3"/>
  <c r="F100" i="3"/>
  <c r="F104" i="3"/>
  <c r="F134" i="3"/>
  <c r="F137" i="3"/>
  <c r="F118" i="3"/>
  <c r="F85" i="3"/>
  <c r="F139" i="3"/>
  <c r="F96" i="3"/>
  <c r="F91" i="3"/>
  <c r="F107" i="3"/>
  <c r="F88" i="3"/>
  <c r="F82" i="3"/>
  <c r="F138" i="3"/>
  <c r="F124" i="3"/>
  <c r="F81" i="3"/>
  <c r="F99" i="3"/>
  <c r="F83" i="3"/>
  <c r="F94" i="3"/>
  <c r="F93" i="3"/>
  <c r="F103" i="3"/>
  <c r="F80" i="3"/>
  <c r="F97" i="3"/>
  <c r="F140" i="3"/>
  <c r="F121" i="3"/>
  <c r="F84" i="3"/>
  <c r="F105" i="3"/>
  <c r="F108" i="3"/>
  <c r="F125" i="3"/>
  <c r="F122" i="3"/>
  <c r="F120" i="3"/>
  <c r="F87" i="3"/>
  <c r="F90" i="3"/>
  <c r="F98" i="3"/>
  <c r="F113" i="3"/>
  <c r="F117" i="3"/>
  <c r="F116" i="3"/>
  <c r="F131" i="3"/>
  <c r="F102" i="3"/>
  <c r="F128" i="3"/>
  <c r="F141" i="3"/>
  <c r="F115" i="3"/>
  <c r="F130" i="3"/>
  <c r="F114" i="3"/>
  <c r="F129" i="3"/>
  <c r="F119" i="3"/>
  <c r="F123" i="3"/>
  <c r="F89" i="3"/>
  <c r="F95" i="3"/>
  <c r="F92" i="3"/>
  <c r="F101" i="3"/>
  <c r="O15" i="3"/>
  <c r="P15" i="3" s="1"/>
  <c r="O10" i="3"/>
  <c r="P10" i="3" s="1"/>
  <c r="O11" i="3"/>
  <c r="P11" i="3" s="1"/>
  <c r="Q11" i="3" s="1"/>
  <c r="R11" i="3" s="1"/>
  <c r="S11" i="3" s="1"/>
  <c r="O8" i="3"/>
  <c r="P8" i="3" s="1"/>
  <c r="Q8" i="3" s="1"/>
  <c r="R8" i="3" s="1"/>
  <c r="S8" i="3" s="1"/>
  <c r="O17" i="3"/>
  <c r="P17" i="3" s="1"/>
  <c r="Q17" i="3" s="1"/>
  <c r="O14" i="3"/>
  <c r="P14" i="3" s="1"/>
  <c r="R6" i="3"/>
  <c r="S6" i="3" s="1"/>
  <c r="O12" i="3"/>
  <c r="P12" i="3" s="1"/>
  <c r="O16" i="3"/>
  <c r="P16" i="3" s="1"/>
  <c r="Q16" i="3" s="1"/>
  <c r="R16" i="3" s="1"/>
  <c r="S16" i="3" s="1"/>
  <c r="O6" i="3"/>
  <c r="P6" i="3" s="1"/>
  <c r="Q6" i="3" s="1"/>
  <c r="O9" i="3"/>
  <c r="P9" i="3" s="1"/>
  <c r="Q9" i="3" s="1"/>
  <c r="R9" i="3" s="1"/>
  <c r="S9" i="3" s="1"/>
  <c r="O13" i="3"/>
  <c r="P13" i="3" s="1"/>
  <c r="Q13" i="3" s="1"/>
  <c r="R13" i="3" s="1"/>
  <c r="S13" i="3" s="1"/>
  <c r="O7" i="3"/>
  <c r="P7" i="3" s="1"/>
  <c r="F43" i="3"/>
  <c r="F52" i="3"/>
  <c r="F67" i="3"/>
  <c r="F73" i="3"/>
  <c r="F72" i="3"/>
  <c r="F55" i="3"/>
  <c r="F70" i="3"/>
  <c r="F71" i="3"/>
  <c r="F56" i="3"/>
  <c r="F53" i="3"/>
  <c r="F60" i="3"/>
  <c r="F50" i="3"/>
  <c r="F58" i="3"/>
  <c r="F46" i="3"/>
  <c r="F45" i="3"/>
  <c r="F61" i="3"/>
  <c r="F57" i="3"/>
  <c r="F54" i="3"/>
  <c r="F63" i="3"/>
  <c r="F42" i="3"/>
  <c r="F74" i="3"/>
  <c r="F78" i="3"/>
  <c r="F64" i="3"/>
  <c r="F44" i="3"/>
  <c r="F48" i="3"/>
  <c r="F51" i="3"/>
  <c r="F69" i="3"/>
  <c r="F75" i="3"/>
  <c r="F47" i="3"/>
  <c r="F65" i="3"/>
  <c r="F68" i="3"/>
  <c r="F59" i="3"/>
  <c r="F62" i="3"/>
  <c r="F41" i="3"/>
  <c r="F66" i="3"/>
  <c r="F76" i="3"/>
  <c r="F77" i="3"/>
  <c r="F49" i="3"/>
  <c r="R17" i="3"/>
  <c r="S17" i="3" s="1"/>
  <c r="G129" i="2" l="1"/>
  <c r="G140" i="2"/>
  <c r="G133" i="2"/>
  <c r="G126" i="2"/>
  <c r="G110" i="2"/>
  <c r="G106" i="2"/>
  <c r="G91" i="2"/>
  <c r="G63" i="2"/>
  <c r="G45" i="2"/>
  <c r="S45" i="2" s="1"/>
  <c r="G94" i="2"/>
  <c r="G120" i="2"/>
  <c r="G84" i="2"/>
  <c r="G70" i="2"/>
  <c r="G48" i="2"/>
  <c r="S48" i="2" s="1"/>
  <c r="G134" i="2"/>
  <c r="G115" i="2"/>
  <c r="G103" i="2"/>
  <c r="G60" i="2"/>
  <c r="G51" i="2"/>
  <c r="G116" i="2"/>
  <c r="G139" i="2"/>
  <c r="G125" i="2"/>
  <c r="G98" i="2"/>
  <c r="G49" i="2"/>
  <c r="G44" i="2"/>
  <c r="S44" i="2" s="1"/>
  <c r="G137" i="2"/>
  <c r="G131" i="2"/>
  <c r="G123" i="2"/>
  <c r="G59" i="2"/>
  <c r="G128" i="2"/>
  <c r="G92" i="2"/>
  <c r="G86" i="2"/>
  <c r="G74" i="2"/>
  <c r="G66" i="2"/>
  <c r="G56" i="2"/>
  <c r="G105" i="2"/>
  <c r="G96" i="2"/>
  <c r="G90" i="2"/>
  <c r="G88" i="2"/>
  <c r="G79" i="2"/>
  <c r="G52" i="2"/>
  <c r="G101" i="2"/>
  <c r="G81" i="2"/>
  <c r="G65" i="2"/>
  <c r="G43" i="2"/>
  <c r="S43" i="2" s="1"/>
  <c r="G118" i="2"/>
  <c r="G83" i="2"/>
  <c r="G68" i="2"/>
  <c r="G55" i="2"/>
  <c r="G47" i="2"/>
  <c r="S47" i="2" s="1"/>
  <c r="G119" i="2"/>
  <c r="G72" i="2"/>
  <c r="G121" i="2"/>
  <c r="G141" i="2"/>
  <c r="G136" i="2"/>
  <c r="G113" i="2"/>
  <c r="G99" i="2"/>
  <c r="G93" i="2"/>
  <c r="G71" i="2"/>
  <c r="G138" i="2"/>
  <c r="G132" i="2"/>
  <c r="G122" i="2"/>
  <c r="G85" i="2"/>
  <c r="G77" i="2"/>
  <c r="G54" i="2"/>
  <c r="G41" i="2"/>
  <c r="S41" i="2" s="1"/>
  <c r="G80" i="2"/>
  <c r="G75" i="2"/>
  <c r="G124" i="2"/>
  <c r="G111" i="2"/>
  <c r="G104" i="2"/>
  <c r="G97" i="2"/>
  <c r="G89" i="2"/>
  <c r="G76" i="2"/>
  <c r="G107" i="2"/>
  <c r="G100" i="2"/>
  <c r="G53" i="2"/>
  <c r="G46" i="2"/>
  <c r="S46" i="2" s="1"/>
  <c r="G114" i="2"/>
  <c r="G64" i="2"/>
  <c r="G112" i="2"/>
  <c r="G135" i="2"/>
  <c r="G108" i="2"/>
  <c r="G61" i="2"/>
  <c r="G87" i="2"/>
  <c r="G82" i="2"/>
  <c r="G67" i="2"/>
  <c r="G117" i="2"/>
  <c r="G58" i="2"/>
  <c r="G42" i="2"/>
  <c r="S42" i="2" s="1"/>
  <c r="G130" i="2"/>
  <c r="G95" i="2"/>
  <c r="G73" i="2"/>
  <c r="G57" i="2"/>
  <c r="G62" i="2"/>
  <c r="G69" i="2"/>
  <c r="G102" i="2"/>
  <c r="G50" i="2"/>
  <c r="G78" i="2"/>
  <c r="G127" i="2"/>
  <c r="G109" i="2"/>
  <c r="P212" i="5"/>
  <c r="P208" i="5"/>
  <c r="P201" i="5"/>
  <c r="P195" i="5"/>
  <c r="P185" i="5"/>
  <c r="P169" i="5"/>
  <c r="P159" i="5"/>
  <c r="P153" i="5"/>
  <c r="P146" i="5"/>
  <c r="P142" i="5"/>
  <c r="P129" i="5"/>
  <c r="P121" i="5"/>
  <c r="P204" i="5"/>
  <c r="P150" i="5"/>
  <c r="P130" i="5"/>
  <c r="P116" i="5"/>
  <c r="P200" i="5"/>
  <c r="P182" i="5"/>
  <c r="P172" i="5"/>
  <c r="P154" i="5"/>
  <c r="P134" i="5"/>
  <c r="P152" i="5"/>
  <c r="P117" i="5"/>
  <c r="P114" i="5"/>
  <c r="P187" i="5"/>
  <c r="P179" i="5"/>
  <c r="P174" i="5"/>
  <c r="P139" i="5"/>
  <c r="P135" i="5"/>
  <c r="P120" i="5"/>
  <c r="P206" i="5"/>
  <c r="P197" i="5"/>
  <c r="P193" i="5"/>
  <c r="P186" i="5"/>
  <c r="P183" i="5"/>
  <c r="P140" i="5"/>
  <c r="P137" i="5"/>
  <c r="P128" i="5"/>
  <c r="P118" i="5"/>
  <c r="P189" i="5"/>
  <c r="P177" i="5"/>
  <c r="P151" i="5"/>
  <c r="P211" i="5"/>
  <c r="P164" i="5"/>
  <c r="P157" i="5"/>
  <c r="P155" i="5"/>
  <c r="P149" i="5"/>
  <c r="P123" i="5"/>
  <c r="P205" i="5"/>
  <c r="P190" i="5"/>
  <c r="P175" i="5"/>
  <c r="P147" i="5"/>
  <c r="P133" i="5"/>
  <c r="P113" i="5"/>
  <c r="P199" i="5"/>
  <c r="P178" i="5"/>
  <c r="P165" i="5"/>
  <c r="P131" i="5"/>
  <c r="P115" i="5"/>
  <c r="P194" i="5"/>
  <c r="P171" i="5"/>
  <c r="P168" i="5"/>
  <c r="P127" i="5"/>
  <c r="P119" i="5"/>
  <c r="P188" i="5"/>
  <c r="P163" i="5"/>
  <c r="P160" i="5"/>
  <c r="P207" i="5"/>
  <c r="P132" i="5"/>
  <c r="P125" i="5"/>
  <c r="P170" i="5"/>
  <c r="P144" i="5"/>
  <c r="P209" i="5"/>
  <c r="P161" i="5"/>
  <c r="P122" i="5"/>
  <c r="P136" i="5"/>
  <c r="P180" i="5"/>
  <c r="P203" i="5"/>
  <c r="P167" i="5"/>
  <c r="P156" i="5"/>
  <c r="P192" i="5"/>
  <c r="P184" i="5"/>
  <c r="P124" i="5"/>
  <c r="P166" i="5"/>
  <c r="P213" i="5"/>
  <c r="P202" i="5"/>
  <c r="P191" i="5"/>
  <c r="P141" i="5"/>
  <c r="P138" i="5"/>
  <c r="P143" i="5"/>
  <c r="P181" i="5"/>
  <c r="P148" i="5"/>
  <c r="P162" i="5"/>
  <c r="P210" i="5"/>
  <c r="P176" i="5"/>
  <c r="P198" i="5"/>
  <c r="P173" i="5"/>
  <c r="P158" i="5"/>
  <c r="P196" i="5"/>
  <c r="P145" i="5"/>
  <c r="P126" i="5"/>
  <c r="G140" i="3"/>
  <c r="G133" i="3"/>
  <c r="G126" i="3"/>
  <c r="G114" i="3"/>
  <c r="G86" i="3"/>
  <c r="G68" i="3"/>
  <c r="G134" i="3"/>
  <c r="G127" i="3"/>
  <c r="G120" i="3"/>
  <c r="G84" i="3"/>
  <c r="G70" i="3"/>
  <c r="G122" i="3"/>
  <c r="G115" i="3"/>
  <c r="G76" i="3"/>
  <c r="G60" i="3"/>
  <c r="G57" i="3"/>
  <c r="G47" i="3"/>
  <c r="S47" i="3" s="1"/>
  <c r="G130" i="3"/>
  <c r="G106" i="3"/>
  <c r="G66" i="3"/>
  <c r="G63" i="3"/>
  <c r="G50" i="3"/>
  <c r="G118" i="3"/>
  <c r="G124" i="3"/>
  <c r="G121" i="3"/>
  <c r="G113" i="3"/>
  <c r="G139" i="3"/>
  <c r="G136" i="3"/>
  <c r="G116" i="3"/>
  <c r="G104" i="3"/>
  <c r="G88" i="3"/>
  <c r="G138" i="3"/>
  <c r="G119" i="3"/>
  <c r="G111" i="3"/>
  <c r="G109" i="3"/>
  <c r="G107" i="3"/>
  <c r="G103" i="3"/>
  <c r="G78" i="3"/>
  <c r="G69" i="3"/>
  <c r="G58" i="3"/>
  <c r="G52" i="3"/>
  <c r="G48" i="3"/>
  <c r="S48" i="3" s="1"/>
  <c r="G117" i="3"/>
  <c r="G72" i="3"/>
  <c r="G44" i="3"/>
  <c r="S44" i="3" s="1"/>
  <c r="G61" i="3"/>
  <c r="G105" i="3"/>
  <c r="G96" i="3"/>
  <c r="G89" i="3"/>
  <c r="G81" i="3"/>
  <c r="G75" i="3"/>
  <c r="G65" i="3"/>
  <c r="G141" i="3"/>
  <c r="G100" i="3"/>
  <c r="G98" i="3"/>
  <c r="G91" i="3"/>
  <c r="G56" i="3"/>
  <c r="G125" i="3"/>
  <c r="G71" i="3"/>
  <c r="G55" i="3"/>
  <c r="G49" i="3"/>
  <c r="G95" i="3"/>
  <c r="G54" i="3"/>
  <c r="G101" i="3"/>
  <c r="G135" i="3"/>
  <c r="G110" i="3"/>
  <c r="G41" i="3"/>
  <c r="S41" i="3" s="1"/>
  <c r="G83" i="3"/>
  <c r="G94" i="3"/>
  <c r="G59" i="3"/>
  <c r="G53" i="3"/>
  <c r="G132" i="3"/>
  <c r="G87" i="3"/>
  <c r="G64" i="3"/>
  <c r="G46" i="3"/>
  <c r="S46" i="3" s="1"/>
  <c r="G74" i="3"/>
  <c r="G67" i="3"/>
  <c r="G131" i="3"/>
  <c r="G97" i="3"/>
  <c r="G79" i="3"/>
  <c r="G90" i="3"/>
  <c r="G82" i="3"/>
  <c r="G62" i="3"/>
  <c r="G42" i="3"/>
  <c r="S42" i="3" s="1"/>
  <c r="G112" i="3"/>
  <c r="G99" i="3"/>
  <c r="G45" i="3"/>
  <c r="S45" i="3" s="1"/>
  <c r="G80" i="3"/>
  <c r="G137" i="3"/>
  <c r="G43" i="3"/>
  <c r="S43" i="3" s="1"/>
  <c r="G73" i="3"/>
  <c r="G108" i="3"/>
  <c r="G92" i="3"/>
  <c r="G129" i="3"/>
  <c r="G77" i="3"/>
  <c r="G128" i="3"/>
  <c r="G85" i="3"/>
  <c r="G102" i="3"/>
  <c r="G123" i="3"/>
  <c r="G93" i="3"/>
  <c r="G51" i="3"/>
  <c r="Q15" i="2"/>
  <c r="R15" i="2" s="1"/>
  <c r="S15" i="2" s="1"/>
  <c r="G136" i="5"/>
  <c r="G118" i="5"/>
  <c r="G137" i="5"/>
  <c r="G125" i="5"/>
  <c r="G113" i="5"/>
  <c r="G109" i="5"/>
  <c r="G105" i="5"/>
  <c r="G93" i="5"/>
  <c r="G141" i="5"/>
  <c r="G127" i="5"/>
  <c r="G110" i="5"/>
  <c r="G106" i="5"/>
  <c r="G91" i="5"/>
  <c r="G92" i="5"/>
  <c r="G85" i="5"/>
  <c r="G69" i="5"/>
  <c r="G59" i="5"/>
  <c r="G53" i="5"/>
  <c r="G50" i="5"/>
  <c r="G103" i="5"/>
  <c r="G108" i="5"/>
  <c r="G96" i="5"/>
  <c r="G70" i="5"/>
  <c r="G43" i="5"/>
  <c r="S43" i="5" s="1"/>
  <c r="G139" i="5"/>
  <c r="G133" i="5"/>
  <c r="G130" i="5"/>
  <c r="G122" i="5"/>
  <c r="G117" i="5"/>
  <c r="G102" i="5"/>
  <c r="G100" i="5"/>
  <c r="G79" i="5"/>
  <c r="G65" i="5"/>
  <c r="G104" i="5"/>
  <c r="G98" i="5"/>
  <c r="G62" i="5"/>
  <c r="G56" i="5"/>
  <c r="G46" i="5"/>
  <c r="S46" i="5" s="1"/>
  <c r="G84" i="5"/>
  <c r="G67" i="5"/>
  <c r="G111" i="5"/>
  <c r="G99" i="5"/>
  <c r="G94" i="5"/>
  <c r="G81" i="5"/>
  <c r="G124" i="5"/>
  <c r="G52" i="5"/>
  <c r="G44" i="5"/>
  <c r="S44" i="5" s="1"/>
  <c r="G126" i="5"/>
  <c r="G89" i="5"/>
  <c r="G73" i="5"/>
  <c r="G66" i="5"/>
  <c r="G54" i="5"/>
  <c r="G121" i="5"/>
  <c r="G95" i="5"/>
  <c r="G76" i="5"/>
  <c r="G58" i="5"/>
  <c r="G49" i="5"/>
  <c r="G135" i="5"/>
  <c r="G101" i="5"/>
  <c r="G140" i="5"/>
  <c r="G87" i="5"/>
  <c r="G71" i="5"/>
  <c r="G57" i="5"/>
  <c r="G51" i="5"/>
  <c r="S51" i="5" s="1"/>
  <c r="G134" i="5"/>
  <c r="G90" i="5"/>
  <c r="G63" i="5"/>
  <c r="G82" i="5"/>
  <c r="G72" i="5"/>
  <c r="G68" i="5"/>
  <c r="G48" i="5"/>
  <c r="S48" i="5" s="1"/>
  <c r="G114" i="5"/>
  <c r="G86" i="5"/>
  <c r="G77" i="5"/>
  <c r="G61" i="5"/>
  <c r="G55" i="5"/>
  <c r="S55" i="5" s="1"/>
  <c r="G129" i="5"/>
  <c r="G128" i="5"/>
  <c r="G119" i="5"/>
  <c r="G88" i="5"/>
  <c r="G75" i="5"/>
  <c r="G42" i="5"/>
  <c r="S42" i="5" s="1"/>
  <c r="G74" i="5"/>
  <c r="G41" i="5"/>
  <c r="S41" i="5" s="1"/>
  <c r="G107" i="5"/>
  <c r="G60" i="5"/>
  <c r="G138" i="5"/>
  <c r="G112" i="5"/>
  <c r="G123" i="5"/>
  <c r="G80" i="5"/>
  <c r="G131" i="5"/>
  <c r="G78" i="5"/>
  <c r="G64" i="5"/>
  <c r="G47" i="5"/>
  <c r="S47" i="5" s="1"/>
  <c r="G97" i="5"/>
  <c r="G83" i="5"/>
  <c r="G120" i="5"/>
  <c r="G132" i="5"/>
  <c r="G116" i="5"/>
  <c r="G115" i="5"/>
  <c r="G45" i="5"/>
  <c r="S45" i="5" s="1"/>
  <c r="L146" i="2"/>
  <c r="Q186" i="2"/>
  <c r="H114" i="2"/>
  <c r="J130" i="2"/>
  <c r="Q138" i="3"/>
  <c r="H66" i="3"/>
  <c r="N114" i="3"/>
  <c r="L98" i="3"/>
  <c r="R146" i="3"/>
  <c r="J82" i="3"/>
  <c r="R207" i="3"/>
  <c r="L159" i="3"/>
  <c r="J143" i="3"/>
  <c r="N175" i="3"/>
  <c r="Q199" i="3"/>
  <c r="N194" i="3"/>
  <c r="H146" i="3"/>
  <c r="R226" i="3"/>
  <c r="S226" i="3" s="1"/>
  <c r="L178" i="3"/>
  <c r="Q218" i="3"/>
  <c r="S218" i="3" s="1"/>
  <c r="J162" i="3"/>
  <c r="J131" i="2"/>
  <c r="L147" i="2"/>
  <c r="J74" i="3"/>
  <c r="L90" i="3"/>
  <c r="N106" i="3"/>
  <c r="Q130" i="3"/>
  <c r="H58" i="3"/>
  <c r="R138" i="3"/>
  <c r="L172" i="3"/>
  <c r="Q212" i="3"/>
  <c r="N188" i="3"/>
  <c r="J156" i="3"/>
  <c r="R220" i="3"/>
  <c r="L156" i="2"/>
  <c r="J140" i="2"/>
  <c r="J103" i="2"/>
  <c r="L119" i="2"/>
  <c r="L170" i="2"/>
  <c r="J154" i="2"/>
  <c r="H138" i="2"/>
  <c r="L95" i="2"/>
  <c r="J79" i="2"/>
  <c r="L99" i="2"/>
  <c r="J83" i="2"/>
  <c r="N125" i="3"/>
  <c r="L109" i="3"/>
  <c r="Q149" i="3"/>
  <c r="J93" i="3"/>
  <c r="R157" i="3"/>
  <c r="H77" i="3"/>
  <c r="L154" i="3"/>
  <c r="J138" i="3"/>
  <c r="R202" i="3"/>
  <c r="N170" i="3"/>
  <c r="Q194" i="3"/>
  <c r="N164" i="3"/>
  <c r="R196" i="3"/>
  <c r="H116" i="3"/>
  <c r="J132" i="3"/>
  <c r="Q188" i="3"/>
  <c r="L148" i="3"/>
  <c r="H96" i="3"/>
  <c r="Q168" i="3"/>
  <c r="L128" i="3"/>
  <c r="J112" i="3"/>
  <c r="R176" i="3"/>
  <c r="N144" i="3"/>
  <c r="J150" i="3"/>
  <c r="R214" i="3"/>
  <c r="L166" i="3"/>
  <c r="Q206" i="3"/>
  <c r="H134" i="3"/>
  <c r="N182" i="3"/>
  <c r="Q208" i="2"/>
  <c r="J152" i="2"/>
  <c r="L168" i="2"/>
  <c r="L122" i="2"/>
  <c r="J106" i="2"/>
  <c r="L175" i="2"/>
  <c r="J159" i="2"/>
  <c r="L136" i="2"/>
  <c r="J120" i="2"/>
  <c r="Q147" i="2"/>
  <c r="L107" i="2"/>
  <c r="J91" i="2"/>
  <c r="L118" i="2"/>
  <c r="J102" i="2"/>
  <c r="J103" i="3"/>
  <c r="L119" i="3"/>
  <c r="N135" i="3"/>
  <c r="Q159" i="3"/>
  <c r="H87" i="3"/>
  <c r="R167" i="3"/>
  <c r="J146" i="3"/>
  <c r="H130" i="3"/>
  <c r="N178" i="3"/>
  <c r="L162" i="3"/>
  <c r="R210" i="3"/>
  <c r="Q202" i="3"/>
  <c r="I143" i="2"/>
  <c r="I131" i="2"/>
  <c r="I147" i="2"/>
  <c r="I153" i="2"/>
  <c r="I134" i="2"/>
  <c r="I115" i="2"/>
  <c r="I103" i="2"/>
  <c r="I94" i="2"/>
  <c r="I60" i="2"/>
  <c r="I65" i="2"/>
  <c r="I141" i="2"/>
  <c r="I127" i="2"/>
  <c r="I100" i="2"/>
  <c r="I82" i="2"/>
  <c r="I72" i="2"/>
  <c r="I76" i="2"/>
  <c r="I148" i="2"/>
  <c r="I135" i="2"/>
  <c r="I121" i="2"/>
  <c r="I111" i="2"/>
  <c r="I107" i="2"/>
  <c r="I97" i="2"/>
  <c r="I89" i="2"/>
  <c r="I80" i="2"/>
  <c r="I78" i="2"/>
  <c r="I74" i="2"/>
  <c r="I57" i="2"/>
  <c r="I128" i="2"/>
  <c r="I105" i="2"/>
  <c r="I96" i="2"/>
  <c r="I90" i="2"/>
  <c r="I88" i="2"/>
  <c r="I79" i="2"/>
  <c r="I101" i="2"/>
  <c r="I152" i="2"/>
  <c r="I150" i="2"/>
  <c r="I144" i="2"/>
  <c r="I142" i="2"/>
  <c r="I137" i="2"/>
  <c r="I123" i="2"/>
  <c r="I110" i="2"/>
  <c r="I59" i="2"/>
  <c r="I156" i="2"/>
  <c r="I81" i="2"/>
  <c r="I154" i="2"/>
  <c r="I120" i="2"/>
  <c r="I108" i="2"/>
  <c r="I71" i="2"/>
  <c r="I62" i="2"/>
  <c r="I140" i="2"/>
  <c r="I126" i="2"/>
  <c r="I113" i="2"/>
  <c r="I85" i="2"/>
  <c r="I149" i="2"/>
  <c r="I129" i="2"/>
  <c r="I99" i="2"/>
  <c r="I87" i="2"/>
  <c r="I63" i="2"/>
  <c r="I136" i="2"/>
  <c r="I138" i="2"/>
  <c r="I102" i="2"/>
  <c r="I157" i="2"/>
  <c r="I118" i="2"/>
  <c r="I75" i="2"/>
  <c r="I124" i="2"/>
  <c r="I58" i="2"/>
  <c r="I145" i="2"/>
  <c r="I125" i="2"/>
  <c r="I93" i="2"/>
  <c r="I66" i="2"/>
  <c r="I70" i="2"/>
  <c r="I114" i="2"/>
  <c r="I64" i="2"/>
  <c r="I106" i="2"/>
  <c r="I95" i="2"/>
  <c r="I84" i="2"/>
  <c r="I69" i="2"/>
  <c r="I139" i="2"/>
  <c r="I132" i="2"/>
  <c r="I119" i="2"/>
  <c r="I86" i="2"/>
  <c r="I77" i="2"/>
  <c r="I92" i="2"/>
  <c r="I155" i="2"/>
  <c r="I146" i="2"/>
  <c r="I122" i="2"/>
  <c r="I104" i="2"/>
  <c r="I117" i="2"/>
  <c r="I116" i="2"/>
  <c r="I98" i="2"/>
  <c r="I73" i="2"/>
  <c r="I61" i="2"/>
  <c r="I151" i="2"/>
  <c r="I91" i="2"/>
  <c r="I67" i="2"/>
  <c r="I133" i="2"/>
  <c r="I112" i="2"/>
  <c r="I68" i="2"/>
  <c r="I83" i="2"/>
  <c r="I130" i="2"/>
  <c r="I109" i="2"/>
  <c r="L164" i="2"/>
  <c r="J148" i="2"/>
  <c r="Q204" i="2"/>
  <c r="H132" i="2"/>
  <c r="L116" i="2"/>
  <c r="J100" i="2"/>
  <c r="N131" i="3"/>
  <c r="Q155" i="3"/>
  <c r="R163" i="3"/>
  <c r="H83" i="3"/>
  <c r="J99" i="3"/>
  <c r="L115" i="3"/>
  <c r="R217" i="3"/>
  <c r="N185" i="3"/>
  <c r="L169" i="3"/>
  <c r="J153" i="3"/>
  <c r="Q209" i="3"/>
  <c r="R213" i="3"/>
  <c r="N181" i="3"/>
  <c r="Q205" i="3"/>
  <c r="J149" i="3"/>
  <c r="H133" i="3"/>
  <c r="L165" i="3"/>
  <c r="L122" i="3"/>
  <c r="Q162" i="3"/>
  <c r="J106" i="3"/>
  <c r="R170" i="3"/>
  <c r="N138" i="3"/>
  <c r="L161" i="2"/>
  <c r="J145" i="2"/>
  <c r="Q201" i="2"/>
  <c r="R148" i="3"/>
  <c r="N116" i="3"/>
  <c r="Q140" i="3"/>
  <c r="L100" i="3"/>
  <c r="J84" i="3"/>
  <c r="N107" i="3"/>
  <c r="Q131" i="3"/>
  <c r="L91" i="3"/>
  <c r="J75" i="3"/>
  <c r="R139" i="3"/>
  <c r="R141" i="3"/>
  <c r="N109" i="3"/>
  <c r="H61" i="3"/>
  <c r="L93" i="3"/>
  <c r="J77" i="3"/>
  <c r="Q133" i="3"/>
  <c r="Q12" i="3"/>
  <c r="R12" i="3" s="1"/>
  <c r="S12" i="3" s="1"/>
  <c r="J154" i="3"/>
  <c r="L170" i="3"/>
  <c r="R218" i="3"/>
  <c r="N186" i="3"/>
  <c r="Q210" i="3"/>
  <c r="R193" i="3"/>
  <c r="H113" i="3"/>
  <c r="N161" i="3"/>
  <c r="L145" i="3"/>
  <c r="Q185" i="3"/>
  <c r="J129" i="3"/>
  <c r="N163" i="3"/>
  <c r="L147" i="3"/>
  <c r="R195" i="3"/>
  <c r="Q187" i="3"/>
  <c r="J131" i="3"/>
  <c r="J160" i="3"/>
  <c r="L176" i="3"/>
  <c r="H144" i="3"/>
  <c r="N192" i="3"/>
  <c r="Q216" i="3"/>
  <c r="S216" i="3" s="1"/>
  <c r="R224" i="3"/>
  <c r="S224" i="3" s="1"/>
  <c r="L173" i="2"/>
  <c r="J157" i="2"/>
  <c r="L141" i="2"/>
  <c r="J125" i="2"/>
  <c r="L163" i="2"/>
  <c r="J147" i="2"/>
  <c r="L158" i="2"/>
  <c r="J142" i="2"/>
  <c r="H76" i="2"/>
  <c r="Q148" i="2"/>
  <c r="J92" i="2"/>
  <c r="L108" i="2"/>
  <c r="J68" i="2"/>
  <c r="L84" i="2"/>
  <c r="L180" i="2"/>
  <c r="Q220" i="2"/>
  <c r="J164" i="2"/>
  <c r="J115" i="2"/>
  <c r="L131" i="2"/>
  <c r="Q144" i="3"/>
  <c r="R152" i="3"/>
  <c r="L104" i="3"/>
  <c r="H72" i="3"/>
  <c r="N120" i="3"/>
  <c r="J88" i="3"/>
  <c r="L168" i="3"/>
  <c r="Q208" i="3"/>
  <c r="H136" i="3"/>
  <c r="N184" i="3"/>
  <c r="R216" i="3"/>
  <c r="J152" i="3"/>
  <c r="N196" i="3"/>
  <c r="R228" i="3"/>
  <c r="S228" i="3" s="1"/>
  <c r="J164" i="3"/>
  <c r="Q220" i="3"/>
  <c r="S220" i="3" s="1"/>
  <c r="L180" i="3"/>
  <c r="H148" i="3"/>
  <c r="L152" i="3"/>
  <c r="N168" i="3"/>
  <c r="Q192" i="3"/>
  <c r="R200" i="3"/>
  <c r="J136" i="3"/>
  <c r="H120" i="3"/>
  <c r="J123" i="2"/>
  <c r="Q179" i="2"/>
  <c r="L139" i="2"/>
  <c r="Q157" i="2"/>
  <c r="J101" i="2"/>
  <c r="H85" i="2"/>
  <c r="L117" i="2"/>
  <c r="H59" i="2"/>
  <c r="L91" i="2"/>
  <c r="J75" i="2"/>
  <c r="O17" i="2"/>
  <c r="P17" i="2" s="1"/>
  <c r="L89" i="3"/>
  <c r="J73" i="3"/>
  <c r="H57" i="3"/>
  <c r="R137" i="3"/>
  <c r="Q129" i="3"/>
  <c r="N105" i="3"/>
  <c r="Q158" i="3"/>
  <c r="R166" i="3"/>
  <c r="J102" i="3"/>
  <c r="L118" i="3"/>
  <c r="N134" i="3"/>
  <c r="H63" i="3"/>
  <c r="Q135" i="3"/>
  <c r="L95" i="3"/>
  <c r="R143" i="3"/>
  <c r="J79" i="3"/>
  <c r="N111" i="3"/>
  <c r="I134" i="3"/>
  <c r="I120" i="3"/>
  <c r="I84" i="3"/>
  <c r="I70" i="3"/>
  <c r="I157" i="3"/>
  <c r="I135" i="3"/>
  <c r="I100" i="3"/>
  <c r="I82" i="3"/>
  <c r="I72" i="3"/>
  <c r="I112" i="3"/>
  <c r="I109" i="3"/>
  <c r="I106" i="3"/>
  <c r="I101" i="3"/>
  <c r="I96" i="3"/>
  <c r="I78" i="3"/>
  <c r="I71" i="3"/>
  <c r="I63" i="3"/>
  <c r="I154" i="3"/>
  <c r="I139" i="3"/>
  <c r="I94" i="3"/>
  <c r="I151" i="3"/>
  <c r="I149" i="3"/>
  <c r="I136" i="3"/>
  <c r="I127" i="3"/>
  <c r="I116" i="3"/>
  <c r="I104" i="3"/>
  <c r="I88" i="3"/>
  <c r="I147" i="3"/>
  <c r="I142" i="3"/>
  <c r="I133" i="3"/>
  <c r="I130" i="3"/>
  <c r="I102" i="3"/>
  <c r="I152" i="3"/>
  <c r="I121" i="3"/>
  <c r="I105" i="3"/>
  <c r="I89" i="3"/>
  <c r="I75" i="3"/>
  <c r="I65" i="3"/>
  <c r="I98" i="3"/>
  <c r="I86" i="3"/>
  <c r="I68" i="3"/>
  <c r="I115" i="3"/>
  <c r="I113" i="3"/>
  <c r="I81" i="3"/>
  <c r="I57" i="3"/>
  <c r="I143" i="3"/>
  <c r="I132" i="3"/>
  <c r="I128" i="3"/>
  <c r="I61" i="3"/>
  <c r="I156" i="3"/>
  <c r="I145" i="3"/>
  <c r="I137" i="3"/>
  <c r="I64" i="3"/>
  <c r="I60" i="3"/>
  <c r="I76" i="3"/>
  <c r="I124" i="3"/>
  <c r="I59" i="3"/>
  <c r="I144" i="3"/>
  <c r="I119" i="3"/>
  <c r="I138" i="3"/>
  <c r="I107" i="3"/>
  <c r="I153" i="3"/>
  <c r="I87" i="3"/>
  <c r="I150" i="3"/>
  <c r="I110" i="3"/>
  <c r="I91" i="3"/>
  <c r="I66" i="3"/>
  <c r="I83" i="3"/>
  <c r="I140" i="3"/>
  <c r="I79" i="3"/>
  <c r="I74" i="3"/>
  <c r="I146" i="3"/>
  <c r="I97" i="3"/>
  <c r="I90" i="3"/>
  <c r="I131" i="3"/>
  <c r="I126" i="3"/>
  <c r="I117" i="3"/>
  <c r="I58" i="3"/>
  <c r="I141" i="3"/>
  <c r="I95" i="3"/>
  <c r="I111" i="3"/>
  <c r="I93" i="3"/>
  <c r="I73" i="3"/>
  <c r="I99" i="3"/>
  <c r="I125" i="3"/>
  <c r="I118" i="3"/>
  <c r="I80" i="3"/>
  <c r="I69" i="3"/>
  <c r="I77" i="3"/>
  <c r="I103" i="3"/>
  <c r="I155" i="3"/>
  <c r="I148" i="3"/>
  <c r="I114" i="3"/>
  <c r="I92" i="3"/>
  <c r="I62" i="3"/>
  <c r="I108" i="3"/>
  <c r="I123" i="3"/>
  <c r="I67" i="3"/>
  <c r="I122" i="3"/>
  <c r="I129" i="3"/>
  <c r="I85" i="3"/>
  <c r="Q182" i="3"/>
  <c r="L142" i="3"/>
  <c r="N158" i="3"/>
  <c r="J126" i="3"/>
  <c r="R190" i="3"/>
  <c r="J121" i="3"/>
  <c r="Q177" i="3"/>
  <c r="H105" i="3"/>
  <c r="L137" i="3"/>
  <c r="R185" i="3"/>
  <c r="N153" i="3"/>
  <c r="L125" i="3"/>
  <c r="Q165" i="3"/>
  <c r="N141" i="3"/>
  <c r="R173" i="3"/>
  <c r="J109" i="3"/>
  <c r="Q191" i="3"/>
  <c r="J135" i="3"/>
  <c r="N167" i="3"/>
  <c r="H119" i="3"/>
  <c r="L151" i="3"/>
  <c r="R199" i="3"/>
  <c r="Q9" i="5"/>
  <c r="R9" i="5" s="1"/>
  <c r="S9" i="5" s="1"/>
  <c r="Q205" i="2"/>
  <c r="L165" i="2"/>
  <c r="J149" i="2"/>
  <c r="J161" i="2"/>
  <c r="L177" i="2"/>
  <c r="Q170" i="2"/>
  <c r="J114" i="2"/>
  <c r="L130" i="2"/>
  <c r="L124" i="2"/>
  <c r="J108" i="2"/>
  <c r="J89" i="2"/>
  <c r="Q145" i="2"/>
  <c r="L105" i="2"/>
  <c r="N121" i="2"/>
  <c r="H73" i="2"/>
  <c r="J97" i="2"/>
  <c r="L113" i="2"/>
  <c r="Q10" i="2"/>
  <c r="R10" i="2" s="1"/>
  <c r="S10" i="2" s="1"/>
  <c r="R134" i="3"/>
  <c r="L86" i="3"/>
  <c r="N102" i="3"/>
  <c r="H54" i="3"/>
  <c r="J70" i="3"/>
  <c r="Q126" i="3"/>
  <c r="J109" i="2"/>
  <c r="L125" i="2"/>
  <c r="R135" i="3"/>
  <c r="L87" i="3"/>
  <c r="J71" i="3"/>
  <c r="N103" i="3"/>
  <c r="Q127" i="3"/>
  <c r="H55" i="3"/>
  <c r="L93" i="2"/>
  <c r="J77" i="2"/>
  <c r="Q128" i="3"/>
  <c r="N104" i="3"/>
  <c r="L88" i="3"/>
  <c r="H56" i="3"/>
  <c r="J72" i="3"/>
  <c r="R136" i="3"/>
  <c r="N112" i="3"/>
  <c r="J80" i="3"/>
  <c r="R144" i="3"/>
  <c r="O120" i="3"/>
  <c r="L96" i="3"/>
  <c r="Q136" i="3"/>
  <c r="J159" i="3"/>
  <c r="R223" i="3"/>
  <c r="S223" i="3" s="1"/>
  <c r="N191" i="3"/>
  <c r="L175" i="3"/>
  <c r="Q215" i="3"/>
  <c r="L144" i="2"/>
  <c r="Q184" i="2"/>
  <c r="J128" i="2"/>
  <c r="H112" i="2"/>
  <c r="L111" i="3"/>
  <c r="R159" i="3"/>
  <c r="N127" i="3"/>
  <c r="H79" i="3"/>
  <c r="J95" i="3"/>
  <c r="Q151" i="3"/>
  <c r="O14" i="2"/>
  <c r="P14" i="2" s="1"/>
  <c r="Q219" i="3"/>
  <c r="R227" i="3"/>
  <c r="S227" i="3" s="1"/>
  <c r="N195" i="3"/>
  <c r="J163" i="3"/>
  <c r="L179" i="3"/>
  <c r="H147" i="3"/>
  <c r="L149" i="2"/>
  <c r="Q189" i="2"/>
  <c r="J133" i="2"/>
  <c r="L116" i="3"/>
  <c r="J100" i="3"/>
  <c r="Q156" i="3"/>
  <c r="N132" i="3"/>
  <c r="H84" i="3"/>
  <c r="R164" i="3"/>
  <c r="R130" i="3"/>
  <c r="H50" i="3"/>
  <c r="N98" i="3"/>
  <c r="Q122" i="3"/>
  <c r="J66" i="3"/>
  <c r="L82" i="3"/>
  <c r="R161" i="3"/>
  <c r="N129" i="3"/>
  <c r="J97" i="3"/>
  <c r="H81" i="3"/>
  <c r="Q153" i="3"/>
  <c r="L113" i="3"/>
  <c r="Q10" i="3"/>
  <c r="R10" i="3" s="1"/>
  <c r="S10" i="3" s="1"/>
  <c r="L156" i="3"/>
  <c r="Q196" i="3"/>
  <c r="O180" i="3"/>
  <c r="H124" i="3"/>
  <c r="J140" i="3"/>
  <c r="N172" i="3"/>
  <c r="R204" i="3"/>
  <c r="R191" i="3"/>
  <c r="J127" i="3"/>
  <c r="L143" i="3"/>
  <c r="Q183" i="3"/>
  <c r="N159" i="3"/>
  <c r="L177" i="3"/>
  <c r="Q217" i="3"/>
  <c r="N193" i="3"/>
  <c r="R225" i="3"/>
  <c r="S225" i="3" s="1"/>
  <c r="O201" i="3"/>
  <c r="J161" i="3"/>
  <c r="R198" i="3"/>
  <c r="N166" i="3"/>
  <c r="J134" i="3"/>
  <c r="L150" i="3"/>
  <c r="Q190" i="3"/>
  <c r="J151" i="2"/>
  <c r="Q207" i="2"/>
  <c r="L167" i="2"/>
  <c r="H135" i="2"/>
  <c r="N183" i="2"/>
  <c r="L128" i="2"/>
  <c r="J112" i="2"/>
  <c r="J113" i="2"/>
  <c r="H97" i="2"/>
  <c r="Q169" i="2"/>
  <c r="L129" i="2"/>
  <c r="J135" i="2"/>
  <c r="L151" i="2"/>
  <c r="Q191" i="2"/>
  <c r="J66" i="2"/>
  <c r="L82" i="2"/>
  <c r="Q122" i="2"/>
  <c r="H50" i="2"/>
  <c r="J94" i="2"/>
  <c r="H78" i="2"/>
  <c r="L110" i="2"/>
  <c r="J86" i="2"/>
  <c r="L102" i="2"/>
  <c r="J89" i="3"/>
  <c r="H73" i="3"/>
  <c r="Q145" i="3"/>
  <c r="N121" i="3"/>
  <c r="R153" i="3"/>
  <c r="L105" i="3"/>
  <c r="Q204" i="3"/>
  <c r="R212" i="3"/>
  <c r="N180" i="3"/>
  <c r="L164" i="3"/>
  <c r="H132" i="3"/>
  <c r="J148" i="3"/>
  <c r="J150" i="2"/>
  <c r="Q206" i="2"/>
  <c r="L166" i="2"/>
  <c r="L115" i="2"/>
  <c r="Q155" i="2"/>
  <c r="J99" i="2"/>
  <c r="L140" i="2"/>
  <c r="J124" i="2"/>
  <c r="J139" i="3"/>
  <c r="Q195" i="3"/>
  <c r="R203" i="3"/>
  <c r="N171" i="3"/>
  <c r="L155" i="3"/>
  <c r="J90" i="2"/>
  <c r="L106" i="2"/>
  <c r="Q14" i="3"/>
  <c r="R14" i="3" s="1"/>
  <c r="S14" i="3" s="1"/>
  <c r="O178" i="3" s="1"/>
  <c r="H149" i="3"/>
  <c r="R229" i="3"/>
  <c r="S229" i="3" s="1"/>
  <c r="N197" i="3"/>
  <c r="L181" i="3"/>
  <c r="Q221" i="3"/>
  <c r="J165" i="3"/>
  <c r="R184" i="3"/>
  <c r="N152" i="3"/>
  <c r="L136" i="3"/>
  <c r="Q176" i="3"/>
  <c r="J120" i="3"/>
  <c r="L104" i="2"/>
  <c r="H72" i="2"/>
  <c r="Q144" i="2"/>
  <c r="J88" i="2"/>
  <c r="J94" i="3"/>
  <c r="Q150" i="3"/>
  <c r="N126" i="3"/>
  <c r="R158" i="3"/>
  <c r="L110" i="3"/>
  <c r="H123" i="2"/>
  <c r="L155" i="2"/>
  <c r="J139" i="2"/>
  <c r="O138" i="3"/>
  <c r="Q154" i="3"/>
  <c r="N130" i="3"/>
  <c r="J98" i="3"/>
  <c r="L114" i="3"/>
  <c r="R162" i="3"/>
  <c r="H82" i="3"/>
  <c r="Q152" i="3"/>
  <c r="N128" i="3"/>
  <c r="J96" i="3"/>
  <c r="L112" i="3"/>
  <c r="H80" i="3"/>
  <c r="R160" i="3"/>
  <c r="R168" i="3"/>
  <c r="L120" i="3"/>
  <c r="J104" i="3"/>
  <c r="N136" i="3"/>
  <c r="Q160" i="3"/>
  <c r="L162" i="2"/>
  <c r="J146" i="2"/>
  <c r="H79" i="2"/>
  <c r="L111" i="2"/>
  <c r="J95" i="2"/>
  <c r="N127" i="2"/>
  <c r="Q15" i="3"/>
  <c r="R15" i="3" s="1"/>
  <c r="S15" i="3" s="1"/>
  <c r="N149" i="3"/>
  <c r="L133" i="3"/>
  <c r="R181" i="3"/>
  <c r="J117" i="3"/>
  <c r="Q173" i="3"/>
  <c r="H142" i="3"/>
  <c r="R222" i="3"/>
  <c r="S222" i="3" s="1"/>
  <c r="L174" i="3"/>
  <c r="N190" i="3"/>
  <c r="Q214" i="3"/>
  <c r="S214" i="3" s="1"/>
  <c r="J158" i="3"/>
  <c r="Q209" i="2"/>
  <c r="L169" i="2"/>
  <c r="J153" i="2"/>
  <c r="J141" i="2"/>
  <c r="L157" i="2"/>
  <c r="H125" i="2"/>
  <c r="Q197" i="2"/>
  <c r="J137" i="2"/>
  <c r="L153" i="2"/>
  <c r="L135" i="2"/>
  <c r="J119" i="2"/>
  <c r="O13" i="2"/>
  <c r="P13" i="2" s="1"/>
  <c r="Q13" i="2" s="1"/>
  <c r="J65" i="3"/>
  <c r="N97" i="3"/>
  <c r="R129" i="3"/>
  <c r="Q121" i="3"/>
  <c r="L81" i="3"/>
  <c r="Q134" i="3"/>
  <c r="J78" i="3"/>
  <c r="N110" i="3"/>
  <c r="L94" i="3"/>
  <c r="R142" i="3"/>
  <c r="H62" i="3"/>
  <c r="N108" i="3"/>
  <c r="L92" i="3"/>
  <c r="J76" i="3"/>
  <c r="H60" i="3"/>
  <c r="Q132" i="3"/>
  <c r="R140" i="3"/>
  <c r="N157" i="3"/>
  <c r="L141" i="3"/>
  <c r="R189" i="3"/>
  <c r="Q181" i="3"/>
  <c r="J125" i="3"/>
  <c r="R201" i="3"/>
  <c r="H121" i="3"/>
  <c r="N169" i="3"/>
  <c r="L153" i="3"/>
  <c r="J137" i="3"/>
  <c r="Q193" i="3"/>
  <c r="R182" i="3"/>
  <c r="Q174" i="3"/>
  <c r="J118" i="3"/>
  <c r="N150" i="3"/>
  <c r="L134" i="3"/>
  <c r="J128" i="3"/>
  <c r="H112" i="3"/>
  <c r="R192" i="3"/>
  <c r="N160" i="3"/>
  <c r="Q184" i="3"/>
  <c r="L144" i="3"/>
  <c r="Q17" i="5"/>
  <c r="R17" i="5" s="1"/>
  <c r="S17" i="5" s="1"/>
  <c r="Q212" i="2"/>
  <c r="J156" i="2"/>
  <c r="L172" i="2"/>
  <c r="H94" i="2"/>
  <c r="Q166" i="2"/>
  <c r="J110" i="2"/>
  <c r="L126" i="2"/>
  <c r="L145" i="2"/>
  <c r="J129" i="2"/>
  <c r="J121" i="2"/>
  <c r="Q177" i="2"/>
  <c r="L137" i="2"/>
  <c r="L103" i="2"/>
  <c r="Q143" i="2"/>
  <c r="H71" i="2"/>
  <c r="J87" i="2"/>
  <c r="L87" i="2"/>
  <c r="J71" i="2"/>
  <c r="L92" i="2"/>
  <c r="J76" i="2"/>
  <c r="H60" i="2"/>
  <c r="Q132" i="2"/>
  <c r="Q7" i="2"/>
  <c r="L160" i="3"/>
  <c r="N176" i="3"/>
  <c r="R208" i="3"/>
  <c r="H128" i="3"/>
  <c r="J144" i="3"/>
  <c r="Q200" i="3"/>
  <c r="Q190" i="2"/>
  <c r="J134" i="2"/>
  <c r="H118" i="2"/>
  <c r="L150" i="2"/>
  <c r="Q177" i="5"/>
  <c r="Q127" i="5"/>
  <c r="Q200" i="5"/>
  <c r="Q124" i="5"/>
  <c r="Q196" i="5"/>
  <c r="Q217" i="5"/>
  <c r="Q193" i="5"/>
  <c r="Q166" i="5"/>
  <c r="Q121" i="5"/>
  <c r="Q171" i="5"/>
  <c r="Q209" i="5"/>
  <c r="Q126" i="5"/>
  <c r="Q174" i="5"/>
  <c r="Q204" i="5"/>
  <c r="Q186" i="5"/>
  <c r="Q163" i="5"/>
  <c r="Q184" i="5"/>
  <c r="Q140" i="5"/>
  <c r="Q147" i="5"/>
  <c r="Q191" i="5"/>
  <c r="Q169" i="5"/>
  <c r="Q134" i="5"/>
  <c r="Q208" i="5"/>
  <c r="Q123" i="5"/>
  <c r="Q219" i="5"/>
  <c r="Q188" i="5"/>
  <c r="Q130" i="5"/>
  <c r="Q164" i="5"/>
  <c r="Q154" i="5"/>
  <c r="Q207" i="5"/>
  <c r="Q137" i="5"/>
  <c r="Q165" i="5"/>
  <c r="Q142" i="5"/>
  <c r="Q153" i="5"/>
  <c r="Q178" i="5"/>
  <c r="Q158" i="5"/>
  <c r="Q145" i="5"/>
  <c r="Q151" i="5"/>
  <c r="Q173" i="5"/>
  <c r="Q202" i="5"/>
  <c r="Q144" i="5"/>
  <c r="Q150" i="5"/>
  <c r="Q146" i="5"/>
  <c r="Q214" i="5"/>
  <c r="Q160" i="5"/>
  <c r="Q138" i="5"/>
  <c r="Q132" i="5"/>
  <c r="Q179" i="5"/>
  <c r="Q162" i="5"/>
  <c r="Q168" i="5"/>
  <c r="Q161" i="5"/>
  <c r="Q212" i="5"/>
  <c r="Q182" i="5"/>
  <c r="Q211" i="5"/>
  <c r="Q143" i="5"/>
  <c r="Q139" i="5"/>
  <c r="Q133" i="5"/>
  <c r="Q167" i="5"/>
  <c r="Q183" i="5"/>
  <c r="Q190" i="5"/>
  <c r="Q175" i="5"/>
  <c r="Q159" i="5"/>
  <c r="Q195" i="5"/>
  <c r="Q181" i="5"/>
  <c r="Q149" i="5"/>
  <c r="Q206" i="5"/>
  <c r="Q189" i="5"/>
  <c r="Q213" i="5"/>
  <c r="Q198" i="5"/>
  <c r="Q194" i="5"/>
  <c r="Q155" i="5"/>
  <c r="Q187" i="5"/>
  <c r="Q141" i="5"/>
  <c r="Q180" i="5"/>
  <c r="Q136" i="5"/>
  <c r="Q220" i="5"/>
  <c r="Q197" i="5"/>
  <c r="Q221" i="5"/>
  <c r="Q152" i="5"/>
  <c r="Q218" i="5"/>
  <c r="Q131" i="5"/>
  <c r="Q205" i="5"/>
  <c r="Q129" i="5"/>
  <c r="Q185" i="5"/>
  <c r="Q148" i="5"/>
  <c r="Q170" i="5"/>
  <c r="Q201" i="5"/>
  <c r="Q216" i="5"/>
  <c r="Q156" i="5"/>
  <c r="Q125" i="5"/>
  <c r="Q122" i="5"/>
  <c r="Q135" i="5"/>
  <c r="Q199" i="5"/>
  <c r="Q210" i="5"/>
  <c r="Q128" i="5"/>
  <c r="Q192" i="5"/>
  <c r="Q157" i="5"/>
  <c r="Q215" i="5"/>
  <c r="Q203" i="5"/>
  <c r="Q172" i="5"/>
  <c r="Q176" i="5"/>
  <c r="I138" i="5"/>
  <c r="I102" i="5"/>
  <c r="I155" i="5"/>
  <c r="I139" i="5"/>
  <c r="I126" i="5"/>
  <c r="I119" i="5"/>
  <c r="I99" i="5"/>
  <c r="I96" i="5"/>
  <c r="I128" i="5"/>
  <c r="I115" i="5"/>
  <c r="I103" i="5"/>
  <c r="I94" i="5"/>
  <c r="I149" i="5"/>
  <c r="I137" i="5"/>
  <c r="I133" i="5"/>
  <c r="I129" i="5"/>
  <c r="I122" i="5"/>
  <c r="I116" i="5"/>
  <c r="I90" i="5"/>
  <c r="I83" i="5"/>
  <c r="I71" i="5"/>
  <c r="I64" i="5"/>
  <c r="I156" i="5"/>
  <c r="I113" i="5"/>
  <c r="I108" i="5"/>
  <c r="I148" i="5"/>
  <c r="I146" i="5"/>
  <c r="I104" i="5"/>
  <c r="I98" i="5"/>
  <c r="I62" i="5"/>
  <c r="I144" i="5"/>
  <c r="I142" i="5"/>
  <c r="I136" i="5"/>
  <c r="I81" i="5"/>
  <c r="I72" i="5"/>
  <c r="I59" i="5"/>
  <c r="I91" i="5"/>
  <c r="I67" i="5"/>
  <c r="I124" i="5"/>
  <c r="I70" i="5"/>
  <c r="I150" i="5"/>
  <c r="I143" i="5"/>
  <c r="I86" i="5"/>
  <c r="I145" i="5"/>
  <c r="I78" i="5"/>
  <c r="I154" i="5"/>
  <c r="I151" i="5"/>
  <c r="I135" i="5"/>
  <c r="I101" i="5"/>
  <c r="I69" i="5"/>
  <c r="I123" i="5"/>
  <c r="I110" i="5"/>
  <c r="I107" i="5"/>
  <c r="I88" i="5"/>
  <c r="I85" i="5"/>
  <c r="I79" i="5"/>
  <c r="I134" i="5"/>
  <c r="I57" i="5"/>
  <c r="I131" i="5"/>
  <c r="I61" i="5"/>
  <c r="I125" i="5"/>
  <c r="I74" i="5"/>
  <c r="I66" i="5"/>
  <c r="I152" i="5"/>
  <c r="I118" i="5"/>
  <c r="I77" i="5"/>
  <c r="I73" i="5"/>
  <c r="I109" i="5"/>
  <c r="I147" i="5"/>
  <c r="I114" i="5"/>
  <c r="I132" i="5"/>
  <c r="I121" i="5"/>
  <c r="I117" i="5"/>
  <c r="I95" i="5"/>
  <c r="I76" i="5"/>
  <c r="I60" i="5"/>
  <c r="I130" i="5"/>
  <c r="I82" i="5"/>
  <c r="I93" i="5"/>
  <c r="I68" i="5"/>
  <c r="I157" i="5"/>
  <c r="I112" i="5"/>
  <c r="I100" i="5"/>
  <c r="I106" i="5"/>
  <c r="I87" i="5"/>
  <c r="I105" i="5"/>
  <c r="I80" i="5"/>
  <c r="I111" i="5"/>
  <c r="I58" i="5"/>
  <c r="I140" i="5"/>
  <c r="I89" i="5"/>
  <c r="I120" i="5"/>
  <c r="I65" i="5"/>
  <c r="I75" i="5"/>
  <c r="I63" i="5"/>
  <c r="I141" i="5"/>
  <c r="I92" i="5"/>
  <c r="I153" i="5"/>
  <c r="I97" i="5"/>
  <c r="I84" i="5"/>
  <c r="I127" i="5"/>
  <c r="H122" i="2"/>
  <c r="L154" i="2"/>
  <c r="J138" i="2"/>
  <c r="Q194" i="2"/>
  <c r="Q124" i="3"/>
  <c r="N100" i="3"/>
  <c r="J68" i="3"/>
  <c r="H52" i="3"/>
  <c r="R132" i="3"/>
  <c r="L84" i="3"/>
  <c r="Q201" i="3"/>
  <c r="L161" i="3"/>
  <c r="R209" i="3"/>
  <c r="N177" i="3"/>
  <c r="J145" i="3"/>
  <c r="H129" i="3"/>
  <c r="N197" i="2"/>
  <c r="J165" i="2"/>
  <c r="L181" i="2"/>
  <c r="Q221" i="2"/>
  <c r="M120" i="5"/>
  <c r="M183" i="5"/>
  <c r="M171" i="5"/>
  <c r="M164" i="5"/>
  <c r="M128" i="5"/>
  <c r="M115" i="5"/>
  <c r="M103" i="5"/>
  <c r="M94" i="5"/>
  <c r="M187" i="5"/>
  <c r="M167" i="5"/>
  <c r="M162" i="5"/>
  <c r="M131" i="5"/>
  <c r="M122" i="5"/>
  <c r="M92" i="5"/>
  <c r="M182" i="5"/>
  <c r="M170" i="5"/>
  <c r="M154" i="5"/>
  <c r="M147" i="5"/>
  <c r="M138" i="5"/>
  <c r="M134" i="5"/>
  <c r="M126" i="5"/>
  <c r="M111" i="5"/>
  <c r="M177" i="5"/>
  <c r="M172" i="5"/>
  <c r="M142" i="5"/>
  <c r="M130" i="5"/>
  <c r="M123" i="5"/>
  <c r="M99" i="5"/>
  <c r="M160" i="5"/>
  <c r="M125" i="5"/>
  <c r="M93" i="5"/>
  <c r="M180" i="5"/>
  <c r="M95" i="5"/>
  <c r="M174" i="5"/>
  <c r="M169" i="5"/>
  <c r="M113" i="5"/>
  <c r="M186" i="5"/>
  <c r="M157" i="5"/>
  <c r="M145" i="5"/>
  <c r="M101" i="5"/>
  <c r="M152" i="5"/>
  <c r="M133" i="5"/>
  <c r="M117" i="5"/>
  <c r="M106" i="5"/>
  <c r="M96" i="5"/>
  <c r="M175" i="5"/>
  <c r="M110" i="5"/>
  <c r="M179" i="5"/>
  <c r="M137" i="5"/>
  <c r="M104" i="5"/>
  <c r="M153" i="5"/>
  <c r="M166" i="5"/>
  <c r="M158" i="5"/>
  <c r="M116" i="5"/>
  <c r="M165" i="5"/>
  <c r="M146" i="5"/>
  <c r="M119" i="5"/>
  <c r="M112" i="5"/>
  <c r="M102" i="5"/>
  <c r="M98" i="5"/>
  <c r="M149" i="5"/>
  <c r="M97" i="5"/>
  <c r="M173" i="5"/>
  <c r="M129" i="5"/>
  <c r="M105" i="5"/>
  <c r="M91" i="5"/>
  <c r="M178" i="5"/>
  <c r="M156" i="5"/>
  <c r="M143" i="5"/>
  <c r="M139" i="5"/>
  <c r="M132" i="5"/>
  <c r="M100" i="5"/>
  <c r="M151" i="5"/>
  <c r="M185" i="5"/>
  <c r="M161" i="5"/>
  <c r="M121" i="5"/>
  <c r="M109" i="5"/>
  <c r="M90" i="5"/>
  <c r="M108" i="5"/>
  <c r="M150" i="5"/>
  <c r="M144" i="5"/>
  <c r="M118" i="5"/>
  <c r="M181" i="5"/>
  <c r="M163" i="5"/>
  <c r="M155" i="5"/>
  <c r="M189" i="5"/>
  <c r="M127" i="5"/>
  <c r="M141" i="5"/>
  <c r="M184" i="5"/>
  <c r="M89" i="5"/>
  <c r="M148" i="5"/>
  <c r="M124" i="5"/>
  <c r="M168" i="5"/>
  <c r="M159" i="5"/>
  <c r="M107" i="5"/>
  <c r="M188" i="5"/>
  <c r="M140" i="5"/>
  <c r="M114" i="5"/>
  <c r="M135" i="5"/>
  <c r="M176" i="5"/>
  <c r="M136" i="5"/>
  <c r="H137" i="5"/>
  <c r="H102" i="5"/>
  <c r="H52" i="5"/>
  <c r="H99" i="5"/>
  <c r="H49" i="5"/>
  <c r="H124" i="5"/>
  <c r="H105" i="5"/>
  <c r="H128" i="5"/>
  <c r="H55" i="5"/>
  <c r="H132" i="5"/>
  <c r="H54" i="5"/>
  <c r="H121" i="5"/>
  <c r="H145" i="5"/>
  <c r="H94" i="5"/>
  <c r="H59" i="5"/>
  <c r="H64" i="5"/>
  <c r="H147" i="5"/>
  <c r="H80" i="5"/>
  <c r="H60" i="5"/>
  <c r="H109" i="5"/>
  <c r="H144" i="5"/>
  <c r="H87" i="5"/>
  <c r="H93" i="5"/>
  <c r="H120" i="5"/>
  <c r="H106" i="5"/>
  <c r="H103" i="5"/>
  <c r="H123" i="5"/>
  <c r="H89" i="5"/>
  <c r="H118" i="5"/>
  <c r="H97" i="5"/>
  <c r="H71" i="5"/>
  <c r="H57" i="5"/>
  <c r="H117" i="5"/>
  <c r="H85" i="5"/>
  <c r="H110" i="5"/>
  <c r="H131" i="5"/>
  <c r="H114" i="5"/>
  <c r="H82" i="5"/>
  <c r="H91" i="5"/>
  <c r="H50" i="5"/>
  <c r="H78" i="5"/>
  <c r="H148" i="5"/>
  <c r="H72" i="5"/>
  <c r="H70" i="5"/>
  <c r="H51" i="5"/>
  <c r="H81" i="5"/>
  <c r="H127" i="5"/>
  <c r="H92" i="5"/>
  <c r="H112" i="5"/>
  <c r="H90" i="5"/>
  <c r="H107" i="5"/>
  <c r="H79" i="5"/>
  <c r="H63" i="5"/>
  <c r="H141" i="5"/>
  <c r="H139" i="5"/>
  <c r="H111" i="5"/>
  <c r="H125" i="5"/>
  <c r="H75" i="5"/>
  <c r="H126" i="5"/>
  <c r="H58" i="5"/>
  <c r="H96" i="5"/>
  <c r="H104" i="5"/>
  <c r="H136" i="5"/>
  <c r="H134" i="5"/>
  <c r="H86" i="5"/>
  <c r="H74" i="5"/>
  <c r="H142" i="5"/>
  <c r="H65" i="5"/>
  <c r="H61" i="5"/>
  <c r="H140" i="5"/>
  <c r="H138" i="5"/>
  <c r="H77" i="5"/>
  <c r="H113" i="5"/>
  <c r="H133" i="5"/>
  <c r="H56" i="5"/>
  <c r="H62" i="5"/>
  <c r="H53" i="5"/>
  <c r="H88" i="5"/>
  <c r="H95" i="5"/>
  <c r="H135" i="5"/>
  <c r="H67" i="5"/>
  <c r="H73" i="5"/>
  <c r="H68" i="5"/>
  <c r="H149" i="5"/>
  <c r="H83" i="5"/>
  <c r="H122" i="5"/>
  <c r="H76" i="5"/>
  <c r="H119" i="5"/>
  <c r="H146" i="5"/>
  <c r="H108" i="5"/>
  <c r="H100" i="5"/>
  <c r="H116" i="5"/>
  <c r="H98" i="5"/>
  <c r="H115" i="5"/>
  <c r="H66" i="5"/>
  <c r="H84" i="5"/>
  <c r="H143" i="5"/>
  <c r="H130" i="5"/>
  <c r="H69" i="5"/>
  <c r="H101" i="5"/>
  <c r="H129" i="5"/>
  <c r="J84" i="2"/>
  <c r="L100" i="2"/>
  <c r="N122" i="3"/>
  <c r="J90" i="3"/>
  <c r="Q146" i="3"/>
  <c r="H74" i="3"/>
  <c r="R154" i="3"/>
  <c r="L106" i="3"/>
  <c r="H71" i="3"/>
  <c r="N119" i="3"/>
  <c r="R151" i="3"/>
  <c r="J87" i="3"/>
  <c r="Q143" i="3"/>
  <c r="L103" i="3"/>
  <c r="N173" i="3"/>
  <c r="J141" i="3"/>
  <c r="Q197" i="3"/>
  <c r="L157" i="3"/>
  <c r="H125" i="3"/>
  <c r="R205" i="3"/>
  <c r="Q126" i="2"/>
  <c r="H54" i="2"/>
  <c r="L86" i="2"/>
  <c r="J70" i="2"/>
  <c r="R150" i="3"/>
  <c r="J86" i="3"/>
  <c r="N118" i="3"/>
  <c r="Q142" i="3"/>
  <c r="L102" i="3"/>
  <c r="L97" i="3"/>
  <c r="N113" i="3"/>
  <c r="Q137" i="3"/>
  <c r="J81" i="3"/>
  <c r="H65" i="3"/>
  <c r="O121" i="3"/>
  <c r="R145" i="3"/>
  <c r="R131" i="3"/>
  <c r="L83" i="3"/>
  <c r="J67" i="3"/>
  <c r="Q123" i="3"/>
  <c r="N99" i="3"/>
  <c r="R180" i="3"/>
  <c r="J116" i="3"/>
  <c r="L132" i="3"/>
  <c r="H100" i="3"/>
  <c r="Q172" i="3"/>
  <c r="N148" i="3"/>
  <c r="H106" i="3"/>
  <c r="N154" i="3"/>
  <c r="J122" i="3"/>
  <c r="L138" i="3"/>
  <c r="Q178" i="3"/>
  <c r="R186" i="3"/>
  <c r="H91" i="3"/>
  <c r="J107" i="3"/>
  <c r="Q163" i="3"/>
  <c r="N139" i="3"/>
  <c r="R171" i="3"/>
  <c r="L123" i="3"/>
  <c r="Q180" i="3"/>
  <c r="N156" i="3"/>
  <c r="J124" i="3"/>
  <c r="L140" i="3"/>
  <c r="R188" i="3"/>
  <c r="O180" i="5"/>
  <c r="O158" i="5"/>
  <c r="O111" i="5"/>
  <c r="O188" i="5"/>
  <c r="O110" i="5"/>
  <c r="O155" i="5"/>
  <c r="O105" i="5"/>
  <c r="O193" i="5"/>
  <c r="O184" i="5"/>
  <c r="O177" i="5"/>
  <c r="O108" i="5"/>
  <c r="O201" i="5"/>
  <c r="O161" i="5"/>
  <c r="O150" i="5"/>
  <c r="O176" i="5"/>
  <c r="O172" i="5"/>
  <c r="O171" i="5"/>
  <c r="O175" i="5"/>
  <c r="O153" i="5"/>
  <c r="O195" i="5"/>
  <c r="O115" i="5"/>
  <c r="O141" i="5"/>
  <c r="O154" i="5"/>
  <c r="O137" i="5"/>
  <c r="O149" i="5"/>
  <c r="O126" i="5"/>
  <c r="O119" i="5"/>
  <c r="O179" i="5"/>
  <c r="O196" i="5"/>
  <c r="O135" i="5"/>
  <c r="O156" i="5"/>
  <c r="O128" i="5"/>
  <c r="O131" i="5"/>
  <c r="O114" i="5"/>
  <c r="O202" i="5"/>
  <c r="O124" i="5"/>
  <c r="O148" i="5"/>
  <c r="O122" i="5"/>
  <c r="O167" i="5"/>
  <c r="O117" i="5"/>
  <c r="O166" i="5"/>
  <c r="O187" i="5"/>
  <c r="O142" i="5"/>
  <c r="O130" i="5"/>
  <c r="O159" i="5"/>
  <c r="O197" i="5"/>
  <c r="O138" i="5"/>
  <c r="O198" i="5"/>
  <c r="O152" i="5"/>
  <c r="O121" i="5"/>
  <c r="O145" i="5"/>
  <c r="O181" i="5"/>
  <c r="O189" i="5"/>
  <c r="O174" i="5"/>
  <c r="O168" i="5"/>
  <c r="O165" i="5"/>
  <c r="O133" i="5"/>
  <c r="O190" i="5"/>
  <c r="O134" i="5"/>
  <c r="O143" i="5"/>
  <c r="O146" i="5"/>
  <c r="O116" i="5"/>
  <c r="O123" i="5"/>
  <c r="O163" i="5"/>
  <c r="O182" i="5"/>
  <c r="O127" i="5"/>
  <c r="O113" i="5"/>
  <c r="O192" i="5"/>
  <c r="O112" i="5"/>
  <c r="O129" i="5"/>
  <c r="O200" i="5"/>
  <c r="O151" i="5"/>
  <c r="O160" i="5"/>
  <c r="O185" i="5"/>
  <c r="O178" i="5"/>
  <c r="O169" i="5"/>
  <c r="O173" i="5"/>
  <c r="O132" i="5"/>
  <c r="O109" i="5"/>
  <c r="O125" i="5"/>
  <c r="O164" i="5"/>
  <c r="O194" i="5"/>
  <c r="O186" i="5"/>
  <c r="O162" i="5"/>
  <c r="O139" i="5"/>
  <c r="O199" i="5"/>
  <c r="O107" i="5"/>
  <c r="O144" i="5"/>
  <c r="O191" i="5"/>
  <c r="O183" i="5"/>
  <c r="O136" i="5"/>
  <c r="O120" i="5"/>
  <c r="O204" i="5"/>
  <c r="O106" i="5"/>
  <c r="O203" i="5"/>
  <c r="O140" i="5"/>
  <c r="O157" i="5"/>
  <c r="O118" i="5"/>
  <c r="O205" i="5"/>
  <c r="O170" i="5"/>
  <c r="O147" i="5"/>
  <c r="J111" i="2"/>
  <c r="Q167" i="2"/>
  <c r="L127" i="2"/>
  <c r="H95" i="2"/>
  <c r="N139" i="2"/>
  <c r="J107" i="2"/>
  <c r="L123" i="2"/>
  <c r="L138" i="2"/>
  <c r="J122" i="2"/>
  <c r="H106" i="2"/>
  <c r="Q178" i="2"/>
  <c r="J160" i="2"/>
  <c r="L176" i="2"/>
  <c r="J80" i="2"/>
  <c r="L96" i="2"/>
  <c r="H64" i="2"/>
  <c r="Q136" i="2"/>
  <c r="Q152" i="2"/>
  <c r="H80" i="2"/>
  <c r="J96" i="2"/>
  <c r="L112" i="2"/>
  <c r="J73" i="2"/>
  <c r="L89" i="2"/>
  <c r="L146" i="3"/>
  <c r="N162" i="3"/>
  <c r="J130" i="3"/>
  <c r="R194" i="3"/>
  <c r="Q186" i="3"/>
  <c r="H114" i="3"/>
  <c r="R179" i="3"/>
  <c r="Q171" i="3"/>
  <c r="N147" i="3"/>
  <c r="J115" i="3"/>
  <c r="L131" i="3"/>
  <c r="J117" i="2"/>
  <c r="Q173" i="2"/>
  <c r="H101" i="2"/>
  <c r="L133" i="2"/>
  <c r="K166" i="5"/>
  <c r="K152" i="5"/>
  <c r="K140" i="5"/>
  <c r="K114" i="5"/>
  <c r="K173" i="5"/>
  <c r="K161" i="5"/>
  <c r="K149" i="5"/>
  <c r="K145" i="5"/>
  <c r="K141" i="5"/>
  <c r="K127" i="5"/>
  <c r="K110" i="5"/>
  <c r="K106" i="5"/>
  <c r="K91" i="5"/>
  <c r="K169" i="5"/>
  <c r="K159" i="5"/>
  <c r="K153" i="5"/>
  <c r="K146" i="5"/>
  <c r="K142" i="5"/>
  <c r="K129" i="5"/>
  <c r="K121" i="5"/>
  <c r="K111" i="5"/>
  <c r="K107" i="5"/>
  <c r="K97" i="5"/>
  <c r="K158" i="5"/>
  <c r="K156" i="5"/>
  <c r="K144" i="5"/>
  <c r="K119" i="5"/>
  <c r="K101" i="5"/>
  <c r="K81" i="5"/>
  <c r="K79" i="5"/>
  <c r="K77" i="5"/>
  <c r="K75" i="5"/>
  <c r="K73" i="5"/>
  <c r="K168" i="5"/>
  <c r="K88" i="5"/>
  <c r="K172" i="5"/>
  <c r="K167" i="5"/>
  <c r="K115" i="5"/>
  <c r="K120" i="5"/>
  <c r="K89" i="5"/>
  <c r="K87" i="5"/>
  <c r="K85" i="5"/>
  <c r="K83" i="5"/>
  <c r="K74" i="5"/>
  <c r="K160" i="5"/>
  <c r="K125" i="5"/>
  <c r="K93" i="5"/>
  <c r="K155" i="5"/>
  <c r="K139" i="5"/>
  <c r="K137" i="5"/>
  <c r="K104" i="5"/>
  <c r="K78" i="5"/>
  <c r="K163" i="5"/>
  <c r="K135" i="5"/>
  <c r="K157" i="5"/>
  <c r="K147" i="5"/>
  <c r="K131" i="5"/>
  <c r="K113" i="5"/>
  <c r="K148" i="5"/>
  <c r="K128" i="5"/>
  <c r="K118" i="5"/>
  <c r="K98" i="5"/>
  <c r="K82" i="5"/>
  <c r="K143" i="5"/>
  <c r="K90" i="5"/>
  <c r="K116" i="5"/>
  <c r="K109" i="5"/>
  <c r="K94" i="5"/>
  <c r="K170" i="5"/>
  <c r="K126" i="5"/>
  <c r="K122" i="5"/>
  <c r="K132" i="5"/>
  <c r="K95" i="5"/>
  <c r="K136" i="5"/>
  <c r="K96" i="5"/>
  <c r="K86" i="5"/>
  <c r="K100" i="5"/>
  <c r="K76" i="5"/>
  <c r="K105" i="5"/>
  <c r="K117" i="5"/>
  <c r="K165" i="5"/>
  <c r="K151" i="5"/>
  <c r="K134" i="5"/>
  <c r="K112" i="5"/>
  <c r="K150" i="5"/>
  <c r="K124" i="5"/>
  <c r="K80" i="5"/>
  <c r="K123" i="5"/>
  <c r="K164" i="5"/>
  <c r="K138" i="5"/>
  <c r="K171" i="5"/>
  <c r="K133" i="5"/>
  <c r="K99" i="5"/>
  <c r="K92" i="5"/>
  <c r="K162" i="5"/>
  <c r="K102" i="5"/>
  <c r="K130" i="5"/>
  <c r="K108" i="5"/>
  <c r="K103" i="5"/>
  <c r="K84" i="5"/>
  <c r="K154" i="5"/>
  <c r="H120" i="2"/>
  <c r="J136" i="2"/>
  <c r="Q192" i="2"/>
  <c r="L152" i="2"/>
  <c r="N117" i="2"/>
  <c r="L101" i="2"/>
  <c r="Q141" i="2"/>
  <c r="J85" i="2"/>
  <c r="Q182" i="2"/>
  <c r="J126" i="2"/>
  <c r="L142" i="2"/>
  <c r="L171" i="3"/>
  <c r="Q211" i="3"/>
  <c r="R219" i="3"/>
  <c r="H139" i="3"/>
  <c r="N187" i="3"/>
  <c r="J155" i="3"/>
  <c r="H94" i="3"/>
  <c r="Q166" i="3"/>
  <c r="R174" i="3"/>
  <c r="L126" i="3"/>
  <c r="J110" i="3"/>
  <c r="N142" i="3"/>
  <c r="L121" i="2"/>
  <c r="Q161" i="2"/>
  <c r="J105" i="2"/>
  <c r="H89" i="2"/>
  <c r="Q183" i="2"/>
  <c r="J127" i="2"/>
  <c r="L143" i="2"/>
  <c r="Q130" i="2"/>
  <c r="J74" i="2"/>
  <c r="L90" i="2"/>
  <c r="H58" i="2"/>
  <c r="N113" i="2"/>
  <c r="J81" i="2"/>
  <c r="L97" i="2"/>
  <c r="Q139" i="3"/>
  <c r="R147" i="3"/>
  <c r="L99" i="3"/>
  <c r="J83" i="3"/>
  <c r="N115" i="3"/>
  <c r="N117" i="3"/>
  <c r="Q141" i="3"/>
  <c r="R149" i="3"/>
  <c r="L101" i="3"/>
  <c r="O125" i="3"/>
  <c r="H69" i="3"/>
  <c r="J85" i="3"/>
  <c r="Q7" i="3"/>
  <c r="R7" i="3" s="1"/>
  <c r="S7" i="3" s="1"/>
  <c r="H90" i="3" s="1"/>
  <c r="L135" i="3"/>
  <c r="J119" i="3"/>
  <c r="R183" i="3"/>
  <c r="Q175" i="3"/>
  <c r="N151" i="3"/>
  <c r="R178" i="3"/>
  <c r="L130" i="3"/>
  <c r="Q170" i="3"/>
  <c r="N146" i="3"/>
  <c r="H98" i="3"/>
  <c r="J114" i="3"/>
  <c r="R187" i="3"/>
  <c r="J123" i="3"/>
  <c r="Q179" i="3"/>
  <c r="N155" i="3"/>
  <c r="L139" i="3"/>
  <c r="N189" i="3"/>
  <c r="L173" i="3"/>
  <c r="Q213" i="3"/>
  <c r="R221" i="3"/>
  <c r="J157" i="3"/>
  <c r="Q13" i="5"/>
  <c r="R13" i="5" s="1"/>
  <c r="S13" i="5" s="1"/>
  <c r="Q172" i="2"/>
  <c r="J116" i="2"/>
  <c r="L132" i="2"/>
  <c r="L134" i="2"/>
  <c r="J118" i="2"/>
  <c r="H102" i="2"/>
  <c r="H88" i="2"/>
  <c r="Q160" i="2"/>
  <c r="J104" i="2"/>
  <c r="L120" i="2"/>
  <c r="J132" i="2"/>
  <c r="Q188" i="2"/>
  <c r="L148" i="2"/>
  <c r="H116" i="2"/>
  <c r="Q154" i="2"/>
  <c r="H82" i="2"/>
  <c r="L114" i="2"/>
  <c r="N130" i="2"/>
  <c r="J98" i="2"/>
  <c r="L83" i="2"/>
  <c r="Q123" i="2"/>
  <c r="J67" i="2"/>
  <c r="L85" i="2"/>
  <c r="Q125" i="2"/>
  <c r="H53" i="2"/>
  <c r="J69" i="2"/>
  <c r="J147" i="3"/>
  <c r="Q203" i="3"/>
  <c r="R211" i="3"/>
  <c r="L163" i="3"/>
  <c r="N179" i="3"/>
  <c r="H131" i="3"/>
  <c r="J82" i="2"/>
  <c r="Q138" i="2"/>
  <c r="H66" i="2"/>
  <c r="L98" i="2"/>
  <c r="N194" i="2"/>
  <c r="H146" i="2"/>
  <c r="L178" i="2"/>
  <c r="J162" i="2"/>
  <c r="R172" i="3"/>
  <c r="Q164" i="3"/>
  <c r="N140" i="3"/>
  <c r="H92" i="3"/>
  <c r="L124" i="3"/>
  <c r="J108" i="3"/>
  <c r="R13" i="2"/>
  <c r="S13" i="2"/>
  <c r="N107" i="2" s="1"/>
  <c r="N104" i="2"/>
  <c r="J72" i="2"/>
  <c r="L88" i="2"/>
  <c r="H135" i="3"/>
  <c r="L167" i="3"/>
  <c r="N183" i="3"/>
  <c r="J151" i="3"/>
  <c r="R215" i="3"/>
  <c r="Q207" i="3"/>
  <c r="L171" i="2"/>
  <c r="Q211" i="2"/>
  <c r="H139" i="2"/>
  <c r="N187" i="2"/>
  <c r="J155" i="2"/>
  <c r="J101" i="3"/>
  <c r="R165" i="3"/>
  <c r="Q157" i="3"/>
  <c r="L117" i="3"/>
  <c r="N133" i="3"/>
  <c r="H85" i="3"/>
  <c r="J142" i="3"/>
  <c r="Q198" i="3"/>
  <c r="H126" i="3"/>
  <c r="L158" i="3"/>
  <c r="N174" i="3"/>
  <c r="R206" i="3"/>
  <c r="O182" i="3"/>
  <c r="O16" i="2"/>
  <c r="P16" i="2" s="1"/>
  <c r="Q16" i="2" s="1"/>
  <c r="R16" i="2" s="1"/>
  <c r="S16" i="2" s="1"/>
  <c r="Q203" i="2" s="1"/>
  <c r="R155" i="3"/>
  <c r="L107" i="3"/>
  <c r="N123" i="3"/>
  <c r="J91" i="3"/>
  <c r="Q147" i="3"/>
  <c r="Q149" i="2"/>
  <c r="L109" i="2"/>
  <c r="J93" i="2"/>
  <c r="H77" i="2"/>
  <c r="N125" i="2"/>
  <c r="O132" i="3"/>
  <c r="N124" i="3"/>
  <c r="J92" i="3"/>
  <c r="R156" i="3"/>
  <c r="L108" i="3"/>
  <c r="Q148" i="3"/>
  <c r="N101" i="3"/>
  <c r="H53" i="3"/>
  <c r="L85" i="3"/>
  <c r="R133" i="3"/>
  <c r="Q125" i="3"/>
  <c r="J69" i="3"/>
  <c r="L129" i="3"/>
  <c r="R177" i="3"/>
  <c r="N145" i="3"/>
  <c r="J113" i="3"/>
  <c r="Q169" i="3"/>
  <c r="N143" i="3"/>
  <c r="J111" i="3"/>
  <c r="L127" i="3"/>
  <c r="H95" i="3"/>
  <c r="R175" i="3"/>
  <c r="Q167" i="3"/>
  <c r="L121" i="3"/>
  <c r="R169" i="3"/>
  <c r="O145" i="3"/>
  <c r="N137" i="3"/>
  <c r="H89" i="3"/>
  <c r="J105" i="3"/>
  <c r="Q161" i="3"/>
  <c r="L149" i="3"/>
  <c r="Q189" i="3"/>
  <c r="J133" i="3"/>
  <c r="H117" i="3"/>
  <c r="R197" i="3"/>
  <c r="N165" i="3"/>
  <c r="Q11" i="5"/>
  <c r="R11" i="5" s="1"/>
  <c r="S11" i="5" s="1"/>
  <c r="J158" i="2"/>
  <c r="L174" i="2"/>
  <c r="H142" i="2"/>
  <c r="Q214" i="2"/>
  <c r="J143" i="2"/>
  <c r="H127" i="2"/>
  <c r="Q199" i="2"/>
  <c r="L159" i="2"/>
  <c r="L179" i="2"/>
  <c r="J163" i="2"/>
  <c r="H147" i="2"/>
  <c r="Q219" i="2"/>
  <c r="Q200" i="2"/>
  <c r="J144" i="2"/>
  <c r="L160" i="2"/>
  <c r="J65" i="2"/>
  <c r="L81" i="2"/>
  <c r="Q121" i="2"/>
  <c r="H49" i="2"/>
  <c r="J78" i="2"/>
  <c r="H62" i="2"/>
  <c r="N110" i="2"/>
  <c r="L94" i="2"/>
  <c r="Q12" i="2"/>
  <c r="R12" i="2" s="1"/>
  <c r="S12" i="2" s="1"/>
  <c r="S7" i="2"/>
  <c r="H143" i="2" s="1"/>
  <c r="R7" i="2"/>
  <c r="N109" i="2" l="1"/>
  <c r="O149" i="3"/>
  <c r="O176" i="3"/>
  <c r="H99" i="2"/>
  <c r="O171" i="3"/>
  <c r="M176" i="3"/>
  <c r="M148" i="3"/>
  <c r="M130" i="3"/>
  <c r="M187" i="3"/>
  <c r="M175" i="3"/>
  <c r="M168" i="3"/>
  <c r="M163" i="3"/>
  <c r="M154" i="3"/>
  <c r="M136" i="3"/>
  <c r="M128" i="3"/>
  <c r="M116" i="3"/>
  <c r="M166" i="3"/>
  <c r="M151" i="3"/>
  <c r="M137" i="3"/>
  <c r="M104" i="3"/>
  <c r="M170" i="3"/>
  <c r="M146" i="3"/>
  <c r="M127" i="3"/>
  <c r="M99" i="3"/>
  <c r="M90" i="3"/>
  <c r="M164" i="3"/>
  <c r="M157" i="3"/>
  <c r="S157" i="3" s="1"/>
  <c r="M140" i="3"/>
  <c r="M185" i="3"/>
  <c r="M173" i="3"/>
  <c r="M158" i="3"/>
  <c r="M147" i="3"/>
  <c r="M142" i="3"/>
  <c r="M100" i="3"/>
  <c r="M98" i="3"/>
  <c r="M92" i="3"/>
  <c r="M162" i="3"/>
  <c r="M160" i="3"/>
  <c r="M125" i="3"/>
  <c r="M119" i="3"/>
  <c r="M189" i="3"/>
  <c r="M180" i="3"/>
  <c r="M156" i="3"/>
  <c r="M122" i="3"/>
  <c r="M114" i="3"/>
  <c r="M178" i="3"/>
  <c r="M172" i="3"/>
  <c r="M159" i="3"/>
  <c r="M141" i="3"/>
  <c r="M91" i="3"/>
  <c r="M139" i="3"/>
  <c r="M102" i="3"/>
  <c r="M169" i="3"/>
  <c r="M145" i="3"/>
  <c r="M143" i="3"/>
  <c r="M181" i="3"/>
  <c r="M161" i="3"/>
  <c r="M126" i="3"/>
  <c r="M124" i="3"/>
  <c r="M93" i="3"/>
  <c r="M188" i="3"/>
  <c r="M177" i="3"/>
  <c r="M174" i="3"/>
  <c r="M149" i="3"/>
  <c r="M118" i="3"/>
  <c r="M153" i="3"/>
  <c r="M101" i="3"/>
  <c r="M184" i="3"/>
  <c r="M97" i="3"/>
  <c r="M171" i="3"/>
  <c r="M135" i="3"/>
  <c r="M113" i="3"/>
  <c r="M107" i="3"/>
  <c r="M167" i="3"/>
  <c r="M112" i="3"/>
  <c r="S112" i="3" s="1"/>
  <c r="M132" i="3"/>
  <c r="M94" i="3"/>
  <c r="M179" i="3"/>
  <c r="M152" i="3"/>
  <c r="M129" i="3"/>
  <c r="M155" i="3"/>
  <c r="M121" i="3"/>
  <c r="M106" i="3"/>
  <c r="M120" i="3"/>
  <c r="M111" i="3"/>
  <c r="M115" i="3"/>
  <c r="M105" i="3"/>
  <c r="M133" i="3"/>
  <c r="M144" i="3"/>
  <c r="M138" i="3"/>
  <c r="M131" i="3"/>
  <c r="M110" i="3"/>
  <c r="M117" i="3"/>
  <c r="M103" i="3"/>
  <c r="M89" i="3"/>
  <c r="M123" i="3"/>
  <c r="M109" i="3"/>
  <c r="M96" i="3"/>
  <c r="M150" i="3"/>
  <c r="M95" i="3"/>
  <c r="M182" i="3"/>
  <c r="M165" i="3"/>
  <c r="M183" i="3"/>
  <c r="M134" i="3"/>
  <c r="M108" i="3"/>
  <c r="M186" i="3"/>
  <c r="O196" i="3"/>
  <c r="S69" i="5"/>
  <c r="P212" i="2"/>
  <c r="P158" i="2"/>
  <c r="P138" i="2"/>
  <c r="P200" i="2"/>
  <c r="P195" i="2"/>
  <c r="P186" i="2"/>
  <c r="P176" i="2"/>
  <c r="P140" i="2"/>
  <c r="P193" i="2"/>
  <c r="P167" i="2"/>
  <c r="P159" i="2"/>
  <c r="P156" i="2"/>
  <c r="P191" i="2"/>
  <c r="P188" i="2"/>
  <c r="P161" i="2"/>
  <c r="P137" i="2"/>
  <c r="P129" i="2"/>
  <c r="P183" i="2"/>
  <c r="P172" i="2"/>
  <c r="P170" i="2"/>
  <c r="P154" i="2"/>
  <c r="P146" i="2"/>
  <c r="P211" i="2"/>
  <c r="P207" i="2"/>
  <c r="P174" i="2"/>
  <c r="P168" i="2"/>
  <c r="P149" i="2"/>
  <c r="P130" i="2"/>
  <c r="P124" i="2"/>
  <c r="P118" i="2"/>
  <c r="P196" i="2"/>
  <c r="P178" i="2"/>
  <c r="P164" i="2"/>
  <c r="P162" i="2"/>
  <c r="P152" i="2"/>
  <c r="P139" i="2"/>
  <c r="P125" i="2"/>
  <c r="P119" i="2"/>
  <c r="P192" i="2"/>
  <c r="P185" i="2"/>
  <c r="P179" i="2"/>
  <c r="P173" i="2"/>
  <c r="P163" i="2"/>
  <c r="P135" i="2"/>
  <c r="P205" i="2"/>
  <c r="P165" i="2"/>
  <c r="P132" i="2"/>
  <c r="P210" i="2"/>
  <c r="P147" i="2"/>
  <c r="P121" i="2"/>
  <c r="P160" i="2"/>
  <c r="P116" i="2"/>
  <c r="P204" i="2"/>
  <c r="P199" i="2"/>
  <c r="P181" i="2"/>
  <c r="P175" i="2"/>
  <c r="P153" i="2"/>
  <c r="P151" i="2"/>
  <c r="P141" i="2"/>
  <c r="P127" i="2"/>
  <c r="P114" i="2"/>
  <c r="P187" i="2"/>
  <c r="P184" i="2"/>
  <c r="P155" i="2"/>
  <c r="P208" i="2"/>
  <c r="P201" i="2"/>
  <c r="P150" i="2"/>
  <c r="P133" i="2"/>
  <c r="P113" i="2"/>
  <c r="P182" i="2"/>
  <c r="P177" i="2"/>
  <c r="P143" i="2"/>
  <c r="P128" i="2"/>
  <c r="P123" i="2"/>
  <c r="P115" i="2"/>
  <c r="P206" i="2"/>
  <c r="P145" i="2"/>
  <c r="P203" i="2"/>
  <c r="P134" i="2"/>
  <c r="P120" i="2"/>
  <c r="P148" i="2"/>
  <c r="P180" i="2"/>
  <c r="P144" i="2"/>
  <c r="P169" i="2"/>
  <c r="P131" i="2"/>
  <c r="P117" i="2"/>
  <c r="P157" i="2"/>
  <c r="P213" i="2"/>
  <c r="P202" i="2"/>
  <c r="P142" i="2"/>
  <c r="P197" i="2"/>
  <c r="P189" i="2"/>
  <c r="P194" i="2"/>
  <c r="P166" i="2"/>
  <c r="P198" i="2"/>
  <c r="P209" i="2"/>
  <c r="P122" i="2"/>
  <c r="P190" i="2"/>
  <c r="P126" i="2"/>
  <c r="P136" i="2"/>
  <c r="P171" i="2"/>
  <c r="S100" i="3"/>
  <c r="S78" i="3"/>
  <c r="S50" i="3"/>
  <c r="S64" i="2"/>
  <c r="O192" i="3"/>
  <c r="S192" i="3" s="1"/>
  <c r="H136" i="2"/>
  <c r="O152" i="3"/>
  <c r="Q159" i="2"/>
  <c r="O122" i="3"/>
  <c r="S57" i="5"/>
  <c r="S103" i="3"/>
  <c r="S63" i="3"/>
  <c r="S62" i="2"/>
  <c r="O164" i="3"/>
  <c r="N102" i="2"/>
  <c r="O198" i="3"/>
  <c r="N181" i="2"/>
  <c r="H131" i="2"/>
  <c r="H141" i="2"/>
  <c r="H75" i="2"/>
  <c r="Q135" i="2"/>
  <c r="S52" i="5"/>
  <c r="S102" i="5"/>
  <c r="S65" i="3"/>
  <c r="S66" i="3"/>
  <c r="S209" i="5"/>
  <c r="S57" i="2"/>
  <c r="N171" i="2"/>
  <c r="N120" i="2"/>
  <c r="O129" i="3"/>
  <c r="N126" i="2"/>
  <c r="J115" i="5"/>
  <c r="J71" i="5"/>
  <c r="S71" i="5" s="1"/>
  <c r="J65" i="5"/>
  <c r="J144" i="5"/>
  <c r="J161" i="5"/>
  <c r="S161" i="5" s="1"/>
  <c r="J148" i="5"/>
  <c r="S148" i="5" s="1"/>
  <c r="J118" i="5"/>
  <c r="J70" i="5"/>
  <c r="J110" i="5"/>
  <c r="J140" i="5"/>
  <c r="J153" i="5"/>
  <c r="J137" i="5"/>
  <c r="S137" i="5" s="1"/>
  <c r="J68" i="5"/>
  <c r="J121" i="5"/>
  <c r="J129" i="5"/>
  <c r="J126" i="5"/>
  <c r="S126" i="5" s="1"/>
  <c r="J86" i="5"/>
  <c r="J145" i="5"/>
  <c r="S145" i="5" s="1"/>
  <c r="J79" i="5"/>
  <c r="S79" i="5" s="1"/>
  <c r="J98" i="5"/>
  <c r="J108" i="5"/>
  <c r="J162" i="5"/>
  <c r="J69" i="5"/>
  <c r="J122" i="5"/>
  <c r="J77" i="5"/>
  <c r="J99" i="5"/>
  <c r="J104" i="5"/>
  <c r="J133" i="5"/>
  <c r="J120" i="5"/>
  <c r="J138" i="5"/>
  <c r="J147" i="5"/>
  <c r="J165" i="5"/>
  <c r="J135" i="5"/>
  <c r="S135" i="5" s="1"/>
  <c r="J117" i="5"/>
  <c r="S117" i="5" s="1"/>
  <c r="J84" i="5"/>
  <c r="S84" i="5" s="1"/>
  <c r="J156" i="5"/>
  <c r="J125" i="5"/>
  <c r="J159" i="5"/>
  <c r="J67" i="5"/>
  <c r="J119" i="5"/>
  <c r="J132" i="5"/>
  <c r="J102" i="5"/>
  <c r="J74" i="5"/>
  <c r="J146" i="5"/>
  <c r="S146" i="5" s="1"/>
  <c r="J105" i="5"/>
  <c r="S105" i="5" s="1"/>
  <c r="J85" i="5"/>
  <c r="S85" i="5" s="1"/>
  <c r="J83" i="5"/>
  <c r="S83" i="5" s="1"/>
  <c r="J136" i="5"/>
  <c r="J91" i="5"/>
  <c r="J130" i="5"/>
  <c r="S130" i="5" s="1"/>
  <c r="J142" i="5"/>
  <c r="J155" i="5"/>
  <c r="J107" i="5"/>
  <c r="J128" i="5"/>
  <c r="S128" i="5" s="1"/>
  <c r="J66" i="5"/>
  <c r="J90" i="5"/>
  <c r="J87" i="5"/>
  <c r="J112" i="5"/>
  <c r="J152" i="5"/>
  <c r="J150" i="5"/>
  <c r="S150" i="5" s="1"/>
  <c r="J88" i="5"/>
  <c r="S88" i="5" s="1"/>
  <c r="J109" i="5"/>
  <c r="J113" i="5"/>
  <c r="J139" i="5"/>
  <c r="S139" i="5" s="1"/>
  <c r="J158" i="5"/>
  <c r="J123" i="5"/>
  <c r="S123" i="5" s="1"/>
  <c r="J97" i="5"/>
  <c r="S97" i="5" s="1"/>
  <c r="J81" i="5"/>
  <c r="S81" i="5" s="1"/>
  <c r="J76" i="5"/>
  <c r="J134" i="5"/>
  <c r="S134" i="5" s="1"/>
  <c r="J94" i="5"/>
  <c r="J157" i="5"/>
  <c r="J82" i="5"/>
  <c r="J160" i="5"/>
  <c r="J95" i="5"/>
  <c r="J141" i="5"/>
  <c r="S141" i="5" s="1"/>
  <c r="J114" i="5"/>
  <c r="J100" i="5"/>
  <c r="S100" i="5" s="1"/>
  <c r="J103" i="5"/>
  <c r="J96" i="5"/>
  <c r="J89" i="5"/>
  <c r="J93" i="5"/>
  <c r="J154" i="5"/>
  <c r="J127" i="5"/>
  <c r="J116" i="5"/>
  <c r="S116" i="5" s="1"/>
  <c r="J72" i="5"/>
  <c r="J78" i="5"/>
  <c r="J124" i="5"/>
  <c r="J143" i="5"/>
  <c r="J131" i="5"/>
  <c r="J164" i="5"/>
  <c r="J149" i="5"/>
  <c r="S149" i="5" s="1"/>
  <c r="J73" i="5"/>
  <c r="J75" i="5"/>
  <c r="J101" i="5"/>
  <c r="S101" i="5" s="1"/>
  <c r="J106" i="5"/>
  <c r="S106" i="5" s="1"/>
  <c r="J92" i="5"/>
  <c r="S92" i="5" s="1"/>
  <c r="J151" i="5"/>
  <c r="J163" i="5"/>
  <c r="J80" i="5"/>
  <c r="J111" i="5"/>
  <c r="S156" i="3"/>
  <c r="N133" i="2"/>
  <c r="N179" i="2"/>
  <c r="O169" i="3"/>
  <c r="Q215" i="2"/>
  <c r="O133" i="3"/>
  <c r="H63" i="2"/>
  <c r="O202" i="3"/>
  <c r="S64" i="5"/>
  <c r="S87" i="5"/>
  <c r="S62" i="3"/>
  <c r="S53" i="2"/>
  <c r="S59" i="2"/>
  <c r="S70" i="2"/>
  <c r="N166" i="2"/>
  <c r="O205" i="3"/>
  <c r="S217" i="3"/>
  <c r="K142" i="3"/>
  <c r="K157" i="3"/>
  <c r="K135" i="3"/>
  <c r="K100" i="3"/>
  <c r="K82" i="3"/>
  <c r="K168" i="3"/>
  <c r="K163" i="3"/>
  <c r="S163" i="3" s="1"/>
  <c r="K154" i="3"/>
  <c r="S154" i="3" s="1"/>
  <c r="K136" i="3"/>
  <c r="K128" i="3"/>
  <c r="S128" i="3" s="1"/>
  <c r="K116" i="3"/>
  <c r="K143" i="3"/>
  <c r="K123" i="3"/>
  <c r="K119" i="3"/>
  <c r="K94" i="3"/>
  <c r="S94" i="3" s="1"/>
  <c r="K92" i="3"/>
  <c r="S92" i="3" s="1"/>
  <c r="K172" i="3"/>
  <c r="K166" i="3"/>
  <c r="K159" i="3"/>
  <c r="K149" i="3"/>
  <c r="K131" i="3"/>
  <c r="K104" i="3"/>
  <c r="K80" i="3"/>
  <c r="S80" i="3" s="1"/>
  <c r="K139" i="3"/>
  <c r="S139" i="3" s="1"/>
  <c r="K133" i="3"/>
  <c r="K130" i="3"/>
  <c r="S130" i="3" s="1"/>
  <c r="K111" i="3"/>
  <c r="K102" i="3"/>
  <c r="K173" i="3"/>
  <c r="K147" i="3"/>
  <c r="S147" i="3" s="1"/>
  <c r="K164" i="3"/>
  <c r="S164" i="3" s="1"/>
  <c r="K160" i="3"/>
  <c r="S160" i="3" s="1"/>
  <c r="K158" i="3"/>
  <c r="S158" i="3" s="1"/>
  <c r="K98" i="3"/>
  <c r="K78" i="3"/>
  <c r="K132" i="3"/>
  <c r="K115" i="3"/>
  <c r="K96" i="3"/>
  <c r="K81" i="3"/>
  <c r="K169" i="3"/>
  <c r="K156" i="3"/>
  <c r="K83" i="3"/>
  <c r="S83" i="3" s="1"/>
  <c r="K86" i="3"/>
  <c r="S86" i="3" s="1"/>
  <c r="K141" i="3"/>
  <c r="S141" i="3" s="1"/>
  <c r="K91" i="3"/>
  <c r="K145" i="3"/>
  <c r="K137" i="3"/>
  <c r="K88" i="3"/>
  <c r="K74" i="3"/>
  <c r="K110" i="3"/>
  <c r="K84" i="3"/>
  <c r="K140" i="3"/>
  <c r="K150" i="3"/>
  <c r="K138" i="3"/>
  <c r="K113" i="3"/>
  <c r="S113" i="3" s="1"/>
  <c r="K79" i="3"/>
  <c r="K171" i="3"/>
  <c r="K153" i="3"/>
  <c r="K124" i="3"/>
  <c r="S124" i="3" s="1"/>
  <c r="K107" i="3"/>
  <c r="K101" i="3"/>
  <c r="K87" i="3"/>
  <c r="K75" i="3"/>
  <c r="K127" i="3"/>
  <c r="K167" i="3"/>
  <c r="K146" i="3"/>
  <c r="K118" i="3"/>
  <c r="K112" i="3"/>
  <c r="K97" i="3"/>
  <c r="K90" i="3"/>
  <c r="S90" i="3" s="1"/>
  <c r="K152" i="3"/>
  <c r="S152" i="3" s="1"/>
  <c r="K129" i="3"/>
  <c r="K89" i="3"/>
  <c r="K170" i="3"/>
  <c r="K121" i="3"/>
  <c r="K151" i="3"/>
  <c r="S151" i="3" s="1"/>
  <c r="K93" i="3"/>
  <c r="K73" i="3"/>
  <c r="S73" i="3" s="1"/>
  <c r="K120" i="3"/>
  <c r="K77" i="3"/>
  <c r="S77" i="3" s="1"/>
  <c r="K126" i="3"/>
  <c r="K106" i="3"/>
  <c r="K144" i="3"/>
  <c r="K117" i="3"/>
  <c r="K161" i="3"/>
  <c r="K125" i="3"/>
  <c r="K105" i="3"/>
  <c r="K103" i="3"/>
  <c r="K109" i="3"/>
  <c r="K85" i="3"/>
  <c r="K162" i="3"/>
  <c r="K99" i="3"/>
  <c r="K95" i="3"/>
  <c r="K114" i="3"/>
  <c r="S114" i="3" s="1"/>
  <c r="K76" i="3"/>
  <c r="K122" i="3"/>
  <c r="S122" i="3" s="1"/>
  <c r="K148" i="3"/>
  <c r="K165" i="3"/>
  <c r="K155" i="3"/>
  <c r="K134" i="3"/>
  <c r="K108" i="3"/>
  <c r="O203" i="3"/>
  <c r="S203" i="3" s="1"/>
  <c r="N160" i="2"/>
  <c r="N124" i="2"/>
  <c r="O117" i="3"/>
  <c r="S117" i="3" s="1"/>
  <c r="O124" i="3"/>
  <c r="O172" i="3"/>
  <c r="H124" i="2"/>
  <c r="S78" i="5"/>
  <c r="S140" i="5"/>
  <c r="S82" i="3"/>
  <c r="S81" i="3"/>
  <c r="N170" i="2"/>
  <c r="O168" i="3"/>
  <c r="S220" i="5"/>
  <c r="N108" i="2"/>
  <c r="O111" i="3"/>
  <c r="N196" i="2"/>
  <c r="N191" i="2"/>
  <c r="O114" i="3"/>
  <c r="S61" i="5"/>
  <c r="S85" i="3"/>
  <c r="S89" i="3"/>
  <c r="S71" i="2"/>
  <c r="S81" i="2"/>
  <c r="O177" i="3"/>
  <c r="S177" i="3" s="1"/>
  <c r="N195" i="2"/>
  <c r="O148" i="3"/>
  <c r="N143" i="2"/>
  <c r="L81" i="5"/>
  <c r="L131" i="5"/>
  <c r="S131" i="5" s="1"/>
  <c r="L137" i="5"/>
  <c r="L169" i="5"/>
  <c r="S169" i="5" s="1"/>
  <c r="L160" i="5"/>
  <c r="L87" i="5"/>
  <c r="L156" i="5"/>
  <c r="S156" i="5" s="1"/>
  <c r="L126" i="5"/>
  <c r="L84" i="5"/>
  <c r="L164" i="5"/>
  <c r="L86" i="5"/>
  <c r="L177" i="5"/>
  <c r="L153" i="5"/>
  <c r="L134" i="5"/>
  <c r="L117" i="5"/>
  <c r="L83" i="5"/>
  <c r="L108" i="5"/>
  <c r="L82" i="5"/>
  <c r="L162" i="5"/>
  <c r="L140" i="5"/>
  <c r="L121" i="5"/>
  <c r="L119" i="5"/>
  <c r="S119" i="5" s="1"/>
  <c r="L174" i="5"/>
  <c r="S174" i="5" s="1"/>
  <c r="L101" i="5"/>
  <c r="L102" i="5"/>
  <c r="L106" i="5"/>
  <c r="L146" i="5"/>
  <c r="L114" i="5"/>
  <c r="L144" i="5"/>
  <c r="L178" i="5"/>
  <c r="L166" i="5"/>
  <c r="L152" i="5"/>
  <c r="L170" i="5"/>
  <c r="L109" i="5"/>
  <c r="L173" i="5"/>
  <c r="S173" i="5" s="1"/>
  <c r="L158" i="5"/>
  <c r="L159" i="5"/>
  <c r="L133" i="5"/>
  <c r="L111" i="5"/>
  <c r="L113" i="5"/>
  <c r="L171" i="5"/>
  <c r="L116" i="5"/>
  <c r="L125" i="5"/>
  <c r="L95" i="5"/>
  <c r="L141" i="5"/>
  <c r="L128" i="5"/>
  <c r="L103" i="5"/>
  <c r="L127" i="5"/>
  <c r="L145" i="5"/>
  <c r="L88" i="5"/>
  <c r="L93" i="5"/>
  <c r="L172" i="5"/>
  <c r="S172" i="5" s="1"/>
  <c r="L142" i="5"/>
  <c r="S142" i="5" s="1"/>
  <c r="L107" i="5"/>
  <c r="L110" i="5"/>
  <c r="S110" i="5" s="1"/>
  <c r="L135" i="5"/>
  <c r="L123" i="5"/>
  <c r="L124" i="5"/>
  <c r="L151" i="5"/>
  <c r="L120" i="5"/>
  <c r="L168" i="5"/>
  <c r="S168" i="5" s="1"/>
  <c r="L104" i="5"/>
  <c r="L150" i="5"/>
  <c r="L92" i="5"/>
  <c r="L98" i="5"/>
  <c r="L89" i="5"/>
  <c r="L149" i="5"/>
  <c r="L129" i="5"/>
  <c r="S129" i="5" s="1"/>
  <c r="L90" i="5"/>
  <c r="L157" i="5"/>
  <c r="L118" i="5"/>
  <c r="L139" i="5"/>
  <c r="L180" i="5"/>
  <c r="L143" i="5"/>
  <c r="L167" i="5"/>
  <c r="L99" i="5"/>
  <c r="L181" i="5"/>
  <c r="L179" i="5"/>
  <c r="L122" i="5"/>
  <c r="S122" i="5" s="1"/>
  <c r="L175" i="5"/>
  <c r="L165" i="5"/>
  <c r="L130" i="5"/>
  <c r="L147" i="5"/>
  <c r="S147" i="5" s="1"/>
  <c r="L176" i="5"/>
  <c r="S176" i="5" s="1"/>
  <c r="L154" i="5"/>
  <c r="L96" i="5"/>
  <c r="L85" i="5"/>
  <c r="L97" i="5"/>
  <c r="L161" i="5"/>
  <c r="L136" i="5"/>
  <c r="L105" i="5"/>
  <c r="L138" i="5"/>
  <c r="L163" i="5"/>
  <c r="L155" i="5"/>
  <c r="L132" i="5"/>
  <c r="L100" i="5"/>
  <c r="L115" i="5"/>
  <c r="L94" i="5"/>
  <c r="S94" i="5" s="1"/>
  <c r="L91" i="5"/>
  <c r="S91" i="5" s="1"/>
  <c r="L148" i="5"/>
  <c r="L112" i="5"/>
  <c r="N153" i="2"/>
  <c r="N173" i="2"/>
  <c r="O139" i="3"/>
  <c r="N180" i="2"/>
  <c r="N138" i="2"/>
  <c r="N172" i="2"/>
  <c r="S80" i="5"/>
  <c r="S77" i="5"/>
  <c r="S133" i="5"/>
  <c r="S79" i="3"/>
  <c r="S101" i="3"/>
  <c r="S96" i="3"/>
  <c r="S57" i="3"/>
  <c r="S94" i="2"/>
  <c r="N149" i="2"/>
  <c r="N105" i="2"/>
  <c r="O165" i="3"/>
  <c r="H108" i="2"/>
  <c r="H134" i="2"/>
  <c r="O167" i="3"/>
  <c r="S219" i="3"/>
  <c r="S215" i="3"/>
  <c r="O110" i="3"/>
  <c r="H145" i="2"/>
  <c r="O161" i="3"/>
  <c r="S148" i="3"/>
  <c r="H109" i="2"/>
  <c r="S144" i="3"/>
  <c r="H129" i="2"/>
  <c r="N123" i="2"/>
  <c r="N115" i="2"/>
  <c r="Q196" i="2"/>
  <c r="S86" i="5"/>
  <c r="S49" i="5"/>
  <c r="S111" i="5"/>
  <c r="S54" i="3"/>
  <c r="S60" i="3"/>
  <c r="S58" i="2"/>
  <c r="S52" i="2"/>
  <c r="S144" i="5"/>
  <c r="S185" i="5"/>
  <c r="R212" i="5"/>
  <c r="R135" i="5"/>
  <c r="R208" i="5"/>
  <c r="R182" i="5"/>
  <c r="R129" i="5"/>
  <c r="R179" i="5"/>
  <c r="R225" i="5"/>
  <c r="S225" i="5" s="1"/>
  <c r="R204" i="5"/>
  <c r="S204" i="5" s="1"/>
  <c r="R201" i="5"/>
  <c r="R174" i="5"/>
  <c r="R132" i="5"/>
  <c r="R134" i="5"/>
  <c r="R185" i="5"/>
  <c r="R217" i="5"/>
  <c r="R202" i="5"/>
  <c r="S202" i="5" s="1"/>
  <c r="R223" i="5"/>
  <c r="S223" i="5" s="1"/>
  <c r="R229" i="5"/>
  <c r="S229" i="5" s="1"/>
  <c r="R161" i="5"/>
  <c r="R215" i="5"/>
  <c r="R190" i="5"/>
  <c r="R155" i="5"/>
  <c r="R143" i="5"/>
  <c r="R171" i="5"/>
  <c r="R207" i="5"/>
  <c r="S207" i="5" s="1"/>
  <c r="R195" i="5"/>
  <c r="R130" i="5"/>
  <c r="R210" i="5"/>
  <c r="S210" i="5" s="1"/>
  <c r="R172" i="5"/>
  <c r="R158" i="5"/>
  <c r="R203" i="5"/>
  <c r="R139" i="5"/>
  <c r="R214" i="5"/>
  <c r="S214" i="5" s="1"/>
  <c r="R200" i="5"/>
  <c r="R154" i="5"/>
  <c r="R222" i="5"/>
  <c r="S222" i="5" s="1"/>
  <c r="R187" i="5"/>
  <c r="R220" i="5"/>
  <c r="R140" i="5"/>
  <c r="R151" i="5"/>
  <c r="R186" i="5"/>
  <c r="S186" i="5" s="1"/>
  <c r="R199" i="5"/>
  <c r="R216" i="5"/>
  <c r="R177" i="5"/>
  <c r="R191" i="5"/>
  <c r="R147" i="5"/>
  <c r="R144" i="5"/>
  <c r="R166" i="5"/>
  <c r="R206" i="5"/>
  <c r="S206" i="5" s="1"/>
  <c r="R167" i="5"/>
  <c r="R138" i="5"/>
  <c r="R145" i="5"/>
  <c r="R159" i="5"/>
  <c r="R183" i="5"/>
  <c r="R221" i="5"/>
  <c r="S221" i="5" s="1"/>
  <c r="R189" i="5"/>
  <c r="R163" i="5"/>
  <c r="R218" i="5"/>
  <c r="S218" i="5" s="1"/>
  <c r="R157" i="5"/>
  <c r="R141" i="5"/>
  <c r="R152" i="5"/>
  <c r="R173" i="5"/>
  <c r="R205" i="5"/>
  <c r="S205" i="5" s="1"/>
  <c r="R136" i="5"/>
  <c r="S136" i="5" s="1"/>
  <c r="R219" i="5"/>
  <c r="S219" i="5" s="1"/>
  <c r="R170" i="5"/>
  <c r="R176" i="5"/>
  <c r="R149" i="5"/>
  <c r="R168" i="5"/>
  <c r="R169" i="5"/>
  <c r="R184" i="5"/>
  <c r="R198" i="5"/>
  <c r="R180" i="5"/>
  <c r="R156" i="5"/>
  <c r="R146" i="5"/>
  <c r="R224" i="5"/>
  <c r="S224" i="5" s="1"/>
  <c r="R165" i="5"/>
  <c r="R209" i="5"/>
  <c r="R227" i="5"/>
  <c r="S227" i="5" s="1"/>
  <c r="R164" i="5"/>
  <c r="R137" i="5"/>
  <c r="R175" i="5"/>
  <c r="R228" i="5"/>
  <c r="S228" i="5" s="1"/>
  <c r="R211" i="5"/>
  <c r="S211" i="5" s="1"/>
  <c r="R148" i="5"/>
  <c r="R178" i="5"/>
  <c r="R153" i="5"/>
  <c r="R162" i="5"/>
  <c r="R213" i="5"/>
  <c r="S213" i="5" s="1"/>
  <c r="R194" i="5"/>
  <c r="R226" i="5"/>
  <c r="S226" i="5" s="1"/>
  <c r="R131" i="5"/>
  <c r="R196" i="5"/>
  <c r="R188" i="5"/>
  <c r="R193" i="5"/>
  <c r="R160" i="5"/>
  <c r="R142" i="5"/>
  <c r="R192" i="5"/>
  <c r="R197" i="5"/>
  <c r="R150" i="5"/>
  <c r="R133" i="5"/>
  <c r="R181" i="5"/>
  <c r="N122" i="2"/>
  <c r="S199" i="5"/>
  <c r="O147" i="3"/>
  <c r="O130" i="3"/>
  <c r="N103" i="2"/>
  <c r="N106" i="2"/>
  <c r="N137" i="2"/>
  <c r="N154" i="2"/>
  <c r="O156" i="3"/>
  <c r="O185" i="3"/>
  <c r="Q127" i="2"/>
  <c r="H105" i="2"/>
  <c r="Q195" i="2"/>
  <c r="N156" i="2"/>
  <c r="N182" i="2"/>
  <c r="Q142" i="2"/>
  <c r="H118" i="3"/>
  <c r="S118" i="3" s="1"/>
  <c r="H111" i="3"/>
  <c r="S111" i="3" s="1"/>
  <c r="O140" i="3"/>
  <c r="Q14" i="2"/>
  <c r="R14" i="2" s="1"/>
  <c r="S14" i="2" s="1"/>
  <c r="S175" i="3"/>
  <c r="K169" i="2"/>
  <c r="K157" i="2"/>
  <c r="K153" i="2"/>
  <c r="K149" i="2"/>
  <c r="K133" i="2"/>
  <c r="K166" i="2"/>
  <c r="K161" i="2"/>
  <c r="K155" i="2"/>
  <c r="K148" i="2"/>
  <c r="K135" i="2"/>
  <c r="K121" i="2"/>
  <c r="K111" i="2"/>
  <c r="K107" i="2"/>
  <c r="K97" i="2"/>
  <c r="S97" i="2" s="1"/>
  <c r="K89" i="2"/>
  <c r="S89" i="2" s="1"/>
  <c r="K80" i="2"/>
  <c r="S80" i="2" s="1"/>
  <c r="K78" i="2"/>
  <c r="S78" i="2" s="1"/>
  <c r="K76" i="2"/>
  <c r="S76" i="2" s="1"/>
  <c r="K74" i="2"/>
  <c r="S74" i="2" s="1"/>
  <c r="K156" i="2"/>
  <c r="K145" i="2"/>
  <c r="K116" i="2"/>
  <c r="K163" i="2"/>
  <c r="K136" i="2"/>
  <c r="K128" i="2"/>
  <c r="K122" i="2"/>
  <c r="K92" i="2"/>
  <c r="K87" i="2"/>
  <c r="K172" i="2"/>
  <c r="K159" i="2"/>
  <c r="K154" i="2"/>
  <c r="K129" i="2"/>
  <c r="K142" i="2"/>
  <c r="K137" i="2"/>
  <c r="K131" i="2"/>
  <c r="K123" i="2"/>
  <c r="K120" i="2"/>
  <c r="K108" i="2"/>
  <c r="K126" i="2"/>
  <c r="K113" i="2"/>
  <c r="K85" i="2"/>
  <c r="S85" i="2" s="1"/>
  <c r="K171" i="2"/>
  <c r="K134" i="2"/>
  <c r="K115" i="2"/>
  <c r="K103" i="2"/>
  <c r="K101" i="2"/>
  <c r="K81" i="2"/>
  <c r="K140" i="2"/>
  <c r="K168" i="2"/>
  <c r="K118" i="2"/>
  <c r="K83" i="2"/>
  <c r="K173" i="2"/>
  <c r="K170" i="2"/>
  <c r="K158" i="2"/>
  <c r="K138" i="2"/>
  <c r="K124" i="2"/>
  <c r="K106" i="2"/>
  <c r="K95" i="2"/>
  <c r="K73" i="2"/>
  <c r="S73" i="2" s="1"/>
  <c r="K165" i="2"/>
  <c r="K132" i="2"/>
  <c r="K104" i="2"/>
  <c r="K93" i="2"/>
  <c r="K147" i="2"/>
  <c r="K102" i="2"/>
  <c r="K141" i="2"/>
  <c r="K144" i="2"/>
  <c r="K164" i="2"/>
  <c r="K96" i="2"/>
  <c r="K79" i="2"/>
  <c r="K110" i="2"/>
  <c r="K100" i="2"/>
  <c r="K109" i="2"/>
  <c r="K75" i="2"/>
  <c r="K114" i="2"/>
  <c r="K117" i="2"/>
  <c r="K84" i="2"/>
  <c r="K167" i="2"/>
  <c r="K162" i="2"/>
  <c r="K130" i="2"/>
  <c r="K127" i="2"/>
  <c r="K99" i="2"/>
  <c r="K90" i="2"/>
  <c r="S90" i="2" s="1"/>
  <c r="K150" i="2"/>
  <c r="K125" i="2"/>
  <c r="K94" i="2"/>
  <c r="K88" i="2"/>
  <c r="K112" i="2"/>
  <c r="K82" i="2"/>
  <c r="K77" i="2"/>
  <c r="S77" i="2" s="1"/>
  <c r="K86" i="2"/>
  <c r="K151" i="2"/>
  <c r="K105" i="2"/>
  <c r="K152" i="2"/>
  <c r="K98" i="2"/>
  <c r="K139" i="2"/>
  <c r="K160" i="2"/>
  <c r="K143" i="2"/>
  <c r="K91" i="2"/>
  <c r="K119" i="2"/>
  <c r="K146" i="2"/>
  <c r="Q164" i="2"/>
  <c r="O175" i="3"/>
  <c r="O119" i="3"/>
  <c r="O113" i="3"/>
  <c r="O128" i="3"/>
  <c r="N174" i="2"/>
  <c r="O200" i="3"/>
  <c r="S200" i="3" s="1"/>
  <c r="N177" i="2"/>
  <c r="Q176" i="2"/>
  <c r="H90" i="2"/>
  <c r="O190" i="3"/>
  <c r="S190" i="3" s="1"/>
  <c r="H67" i="2"/>
  <c r="Q210" i="2"/>
  <c r="O183" i="3"/>
  <c r="N162" i="2"/>
  <c r="S112" i="5"/>
  <c r="S114" i="5"/>
  <c r="S58" i="5"/>
  <c r="S67" i="5"/>
  <c r="S93" i="5"/>
  <c r="S129" i="3"/>
  <c r="S95" i="3"/>
  <c r="S61" i="3"/>
  <c r="S104" i="3"/>
  <c r="S79" i="2"/>
  <c r="S49" i="2"/>
  <c r="S63" i="2"/>
  <c r="S197" i="3"/>
  <c r="N190" i="2"/>
  <c r="N142" i="2"/>
  <c r="O118" i="3"/>
  <c r="H103" i="2"/>
  <c r="S103" i="2" s="1"/>
  <c r="N175" i="2"/>
  <c r="O173" i="3"/>
  <c r="O131" i="3"/>
  <c r="S131" i="3" s="1"/>
  <c r="O141" i="3"/>
  <c r="H75" i="3"/>
  <c r="S75" i="3" s="1"/>
  <c r="Q174" i="2"/>
  <c r="H141" i="3"/>
  <c r="O159" i="3"/>
  <c r="H67" i="3"/>
  <c r="N168" i="2"/>
  <c r="H99" i="3"/>
  <c r="S99" i="3" s="1"/>
  <c r="H51" i="3"/>
  <c r="S51" i="3" s="1"/>
  <c r="S155" i="5"/>
  <c r="S216" i="5"/>
  <c r="H55" i="2"/>
  <c r="N151" i="2"/>
  <c r="Q202" i="2"/>
  <c r="Q180" i="2"/>
  <c r="N145" i="2"/>
  <c r="H81" i="2"/>
  <c r="Q217" i="2"/>
  <c r="H148" i="2"/>
  <c r="Q198" i="2"/>
  <c r="Q181" i="2"/>
  <c r="S176" i="3"/>
  <c r="O194" i="3"/>
  <c r="H59" i="3"/>
  <c r="S59" i="3" s="1"/>
  <c r="O189" i="3"/>
  <c r="Q156" i="2"/>
  <c r="O143" i="3"/>
  <c r="S76" i="5"/>
  <c r="S70" i="5"/>
  <c r="S67" i="3"/>
  <c r="S116" i="3"/>
  <c r="S208" i="5"/>
  <c r="S67" i="2"/>
  <c r="S104" i="2"/>
  <c r="S88" i="2"/>
  <c r="S91" i="2"/>
  <c r="S181" i="3"/>
  <c r="O170" i="3"/>
  <c r="O151" i="3"/>
  <c r="O155" i="3"/>
  <c r="H57" i="2"/>
  <c r="O181" i="3"/>
  <c r="S153" i="5"/>
  <c r="O184" i="3"/>
  <c r="H102" i="3"/>
  <c r="S102" i="3" s="1"/>
  <c r="Q175" i="2"/>
  <c r="N178" i="2"/>
  <c r="O136" i="3"/>
  <c r="H104" i="3"/>
  <c r="O188" i="3"/>
  <c r="N98" i="2"/>
  <c r="H96" i="2"/>
  <c r="O137" i="3"/>
  <c r="H143" i="3"/>
  <c r="O112" i="3"/>
  <c r="Q153" i="2"/>
  <c r="H92" i="2"/>
  <c r="S92" i="2" s="1"/>
  <c r="S155" i="3"/>
  <c r="Q17" i="2"/>
  <c r="R17" i="2" s="1"/>
  <c r="S17" i="2" s="1"/>
  <c r="N155" i="2"/>
  <c r="N100" i="2"/>
  <c r="H126" i="2"/>
  <c r="H138" i="3"/>
  <c r="S138" i="3" s="1"/>
  <c r="O115" i="3"/>
  <c r="S115" i="3" s="1"/>
  <c r="N152" i="2"/>
  <c r="H122" i="3"/>
  <c r="H140" i="3"/>
  <c r="Q187" i="2"/>
  <c r="S60" i="5"/>
  <c r="S68" i="5"/>
  <c r="S95" i="5"/>
  <c r="S96" i="5"/>
  <c r="S109" i="5"/>
  <c r="S74" i="3"/>
  <c r="S55" i="3"/>
  <c r="S72" i="3"/>
  <c r="S212" i="5"/>
  <c r="S82" i="2"/>
  <c r="O193" i="3"/>
  <c r="S193" i="3" s="1"/>
  <c r="N134" i="2"/>
  <c r="H104" i="2"/>
  <c r="N186" i="2"/>
  <c r="N163" i="2"/>
  <c r="S72" i="5"/>
  <c r="S121" i="5"/>
  <c r="S56" i="5"/>
  <c r="S108" i="5"/>
  <c r="S113" i="5"/>
  <c r="S71" i="3"/>
  <c r="S87" i="2"/>
  <c r="N128" i="2"/>
  <c r="O204" i="3"/>
  <c r="H97" i="3"/>
  <c r="S97" i="3" s="1"/>
  <c r="N99" i="2"/>
  <c r="N164" i="2"/>
  <c r="H107" i="3"/>
  <c r="S107" i="3" s="1"/>
  <c r="H110" i="2"/>
  <c r="Q129" i="2"/>
  <c r="H144" i="2"/>
  <c r="H91" i="2"/>
  <c r="H70" i="3"/>
  <c r="S70" i="3" s="1"/>
  <c r="Q140" i="2"/>
  <c r="H149" i="2"/>
  <c r="S152" i="5"/>
  <c r="Q185" i="2"/>
  <c r="H109" i="3"/>
  <c r="S109" i="3" s="1"/>
  <c r="Q193" i="2"/>
  <c r="H137" i="2"/>
  <c r="H130" i="2"/>
  <c r="O134" i="3"/>
  <c r="S134" i="3" s="1"/>
  <c r="Q146" i="2"/>
  <c r="N118" i="2"/>
  <c r="H119" i="2"/>
  <c r="H117" i="2"/>
  <c r="O199" i="3"/>
  <c r="S199" i="3" s="1"/>
  <c r="N141" i="2"/>
  <c r="H133" i="2"/>
  <c r="H93" i="3"/>
  <c r="S93" i="3" s="1"/>
  <c r="O166" i="3"/>
  <c r="H107" i="2"/>
  <c r="Q171" i="2"/>
  <c r="H52" i="2"/>
  <c r="N157" i="2"/>
  <c r="N132" i="2"/>
  <c r="Q162" i="2"/>
  <c r="H87" i="2"/>
  <c r="H127" i="3"/>
  <c r="S127" i="3" s="1"/>
  <c r="S82" i="5"/>
  <c r="S54" i="5"/>
  <c r="S62" i="5"/>
  <c r="S125" i="5"/>
  <c r="S64" i="3"/>
  <c r="S125" i="3"/>
  <c r="S84" i="3"/>
  <c r="S75" i="2"/>
  <c r="S72" i="2"/>
  <c r="S166" i="5"/>
  <c r="O195" i="3"/>
  <c r="S195" i="3" s="1"/>
  <c r="O109" i="3"/>
  <c r="N114" i="2"/>
  <c r="N150" i="2"/>
  <c r="O191" i="3"/>
  <c r="S191" i="3" s="1"/>
  <c r="N148" i="2"/>
  <c r="O150" i="3"/>
  <c r="S150" i="3" s="1"/>
  <c r="N112" i="2"/>
  <c r="O162" i="3"/>
  <c r="O157" i="3"/>
  <c r="H74" i="2"/>
  <c r="N140" i="2"/>
  <c r="O187" i="3"/>
  <c r="H111" i="2"/>
  <c r="N158" i="2"/>
  <c r="N192" i="2"/>
  <c r="Q163" i="2"/>
  <c r="S198" i="5"/>
  <c r="H108" i="3"/>
  <c r="S108" i="3" s="1"/>
  <c r="S151" i="5"/>
  <c r="H113" i="2"/>
  <c r="N188" i="2"/>
  <c r="O105" i="3"/>
  <c r="S105" i="3" s="1"/>
  <c r="H121" i="2"/>
  <c r="N185" i="2"/>
  <c r="H101" i="3"/>
  <c r="O144" i="3"/>
  <c r="O160" i="3"/>
  <c r="N131" i="2"/>
  <c r="H70" i="2"/>
  <c r="O174" i="3"/>
  <c r="S174" i="3" s="1"/>
  <c r="O106" i="3"/>
  <c r="S106" i="3" s="1"/>
  <c r="H61" i="2"/>
  <c r="S61" i="2" s="1"/>
  <c r="N129" i="2"/>
  <c r="O142" i="3"/>
  <c r="Q131" i="2"/>
  <c r="S196" i="3"/>
  <c r="N189" i="2"/>
  <c r="H137" i="3"/>
  <c r="S137" i="3" s="1"/>
  <c r="H84" i="2"/>
  <c r="S84" i="2" s="1"/>
  <c r="Q158" i="2"/>
  <c r="N184" i="2"/>
  <c r="Q139" i="2"/>
  <c r="S74" i="5"/>
  <c r="S63" i="5"/>
  <c r="S66" i="5"/>
  <c r="S98" i="5"/>
  <c r="S50" i="5"/>
  <c r="S87" i="3"/>
  <c r="S56" i="3"/>
  <c r="S52" i="3"/>
  <c r="S121" i="3"/>
  <c r="S120" i="3"/>
  <c r="S51" i="2"/>
  <c r="S201" i="5"/>
  <c r="N97" i="5"/>
  <c r="N176" i="5"/>
  <c r="N103" i="5"/>
  <c r="S103" i="5" s="1"/>
  <c r="N172" i="5"/>
  <c r="N147" i="5"/>
  <c r="N102" i="5"/>
  <c r="N100" i="5"/>
  <c r="N153" i="5"/>
  <c r="N185" i="5"/>
  <c r="N142" i="5"/>
  <c r="N169" i="5"/>
  <c r="N180" i="5"/>
  <c r="N193" i="5"/>
  <c r="S193" i="5" s="1"/>
  <c r="N150" i="5"/>
  <c r="N196" i="5"/>
  <c r="N179" i="5"/>
  <c r="N123" i="5"/>
  <c r="N181" i="5"/>
  <c r="N146" i="5"/>
  <c r="N175" i="5"/>
  <c r="N149" i="5"/>
  <c r="N158" i="5"/>
  <c r="N189" i="5"/>
  <c r="S189" i="5" s="1"/>
  <c r="N171" i="5"/>
  <c r="S171" i="5" s="1"/>
  <c r="N151" i="5"/>
  <c r="N144" i="5"/>
  <c r="N184" i="5"/>
  <c r="S184" i="5" s="1"/>
  <c r="N155" i="5"/>
  <c r="N120" i="5"/>
  <c r="S120" i="5" s="1"/>
  <c r="N191" i="5"/>
  <c r="S191" i="5" s="1"/>
  <c r="N139" i="5"/>
  <c r="N154" i="5"/>
  <c r="N115" i="5"/>
  <c r="S115" i="5" s="1"/>
  <c r="N117" i="5"/>
  <c r="N183" i="5"/>
  <c r="S183" i="5" s="1"/>
  <c r="N173" i="5"/>
  <c r="N187" i="5"/>
  <c r="S187" i="5" s="1"/>
  <c r="N126" i="5"/>
  <c r="N111" i="5"/>
  <c r="N160" i="5"/>
  <c r="N140" i="5"/>
  <c r="N98" i="5"/>
  <c r="N167" i="5"/>
  <c r="S167" i="5" s="1"/>
  <c r="N178" i="5"/>
  <c r="N134" i="5"/>
  <c r="N157" i="5"/>
  <c r="S157" i="5" s="1"/>
  <c r="N125" i="5"/>
  <c r="N132" i="5"/>
  <c r="S132" i="5" s="1"/>
  <c r="N138" i="5"/>
  <c r="S138" i="5" s="1"/>
  <c r="N136" i="5"/>
  <c r="N107" i="5"/>
  <c r="S107" i="5" s="1"/>
  <c r="N182" i="5"/>
  <c r="S182" i="5" s="1"/>
  <c r="N106" i="5"/>
  <c r="N137" i="5"/>
  <c r="N174" i="5"/>
  <c r="N190" i="5"/>
  <c r="S190" i="5" s="1"/>
  <c r="N113" i="5"/>
  <c r="N104" i="5"/>
  <c r="N168" i="5"/>
  <c r="N122" i="5"/>
  <c r="N129" i="5"/>
  <c r="N119" i="5"/>
  <c r="N109" i="5"/>
  <c r="N141" i="5"/>
  <c r="N192" i="5"/>
  <c r="S192" i="5" s="1"/>
  <c r="N145" i="5"/>
  <c r="N188" i="5"/>
  <c r="S188" i="5" s="1"/>
  <c r="N127" i="5"/>
  <c r="S127" i="5" s="1"/>
  <c r="N159" i="5"/>
  <c r="N108" i="5"/>
  <c r="N112" i="5"/>
  <c r="N186" i="5"/>
  <c r="N165" i="5"/>
  <c r="N166" i="5"/>
  <c r="N105" i="5"/>
  <c r="N152" i="5"/>
  <c r="N164" i="5"/>
  <c r="N131" i="5"/>
  <c r="N114" i="5"/>
  <c r="N135" i="5"/>
  <c r="N156" i="5"/>
  <c r="N170" i="5"/>
  <c r="S170" i="5" s="1"/>
  <c r="N162" i="5"/>
  <c r="N116" i="5"/>
  <c r="N195" i="5"/>
  <c r="S195" i="5" s="1"/>
  <c r="N121" i="5"/>
  <c r="N130" i="5"/>
  <c r="N133" i="5"/>
  <c r="N143" i="5"/>
  <c r="S143" i="5" s="1"/>
  <c r="N148" i="5"/>
  <c r="N124" i="5"/>
  <c r="S124" i="5" s="1"/>
  <c r="N194" i="5"/>
  <c r="S194" i="5" s="1"/>
  <c r="N128" i="5"/>
  <c r="N101" i="5"/>
  <c r="N177" i="5"/>
  <c r="N197" i="5"/>
  <c r="S197" i="5" s="1"/>
  <c r="N99" i="5"/>
  <c r="S99" i="5" s="1"/>
  <c r="N161" i="5"/>
  <c r="N118" i="5"/>
  <c r="N163" i="5"/>
  <c r="N110" i="5"/>
  <c r="N136" i="2"/>
  <c r="N97" i="2"/>
  <c r="O197" i="3"/>
  <c r="O154" i="3"/>
  <c r="S200" i="5"/>
  <c r="O123" i="3"/>
  <c r="O126" i="3"/>
  <c r="S126" i="3" s="1"/>
  <c r="N193" i="2"/>
  <c r="H128" i="2"/>
  <c r="O153" i="3"/>
  <c r="S153" i="3" s="1"/>
  <c r="H76" i="3"/>
  <c r="S76" i="3" s="1"/>
  <c r="Q134" i="2"/>
  <c r="N176" i="2"/>
  <c r="Q128" i="2"/>
  <c r="H51" i="2"/>
  <c r="O163" i="3"/>
  <c r="H103" i="3"/>
  <c r="Q137" i="2"/>
  <c r="S203" i="5"/>
  <c r="O107" i="3"/>
  <c r="H68" i="2"/>
  <c r="S68" i="2" s="1"/>
  <c r="S154" i="5"/>
  <c r="N119" i="2"/>
  <c r="O116" i="3"/>
  <c r="H49" i="3"/>
  <c r="S49" i="3" s="1"/>
  <c r="N169" i="2"/>
  <c r="P213" i="3"/>
  <c r="S213" i="3" s="1"/>
  <c r="P201" i="3"/>
  <c r="S201" i="3" s="1"/>
  <c r="P189" i="3"/>
  <c r="P187" i="3"/>
  <c r="P185" i="3"/>
  <c r="P183" i="3"/>
  <c r="P181" i="3"/>
  <c r="P169" i="3"/>
  <c r="P157" i="3"/>
  <c r="P153" i="3"/>
  <c r="P149" i="3"/>
  <c r="S149" i="3" s="1"/>
  <c r="P133" i="3"/>
  <c r="S133" i="3" s="1"/>
  <c r="P166" i="3"/>
  <c r="P129" i="3"/>
  <c r="P123" i="3"/>
  <c r="S123" i="3" s="1"/>
  <c r="P117" i="3"/>
  <c r="P161" i="3"/>
  <c r="S161" i="3" s="1"/>
  <c r="P155" i="3"/>
  <c r="P148" i="3"/>
  <c r="P144" i="3"/>
  <c r="P130" i="3"/>
  <c r="P124" i="3"/>
  <c r="P205" i="3"/>
  <c r="P180" i="3"/>
  <c r="S180" i="3" s="1"/>
  <c r="P136" i="3"/>
  <c r="S136" i="3" s="1"/>
  <c r="P120" i="3"/>
  <c r="P198" i="3"/>
  <c r="P162" i="3"/>
  <c r="S162" i="3" s="1"/>
  <c r="P132" i="3"/>
  <c r="S132" i="3" s="1"/>
  <c r="P195" i="3"/>
  <c r="P182" i="3"/>
  <c r="P186" i="3"/>
  <c r="P145" i="3"/>
  <c r="P122" i="3"/>
  <c r="P208" i="3"/>
  <c r="S208" i="3" s="1"/>
  <c r="P196" i="3"/>
  <c r="P175" i="3"/>
  <c r="P154" i="3"/>
  <c r="P140" i="3"/>
  <c r="S140" i="3" s="1"/>
  <c r="P137" i="3"/>
  <c r="P134" i="3"/>
  <c r="P128" i="3"/>
  <c r="P192" i="3"/>
  <c r="P152" i="3"/>
  <c r="P150" i="3"/>
  <c r="P131" i="3"/>
  <c r="P188" i="3"/>
  <c r="P143" i="3"/>
  <c r="P139" i="3"/>
  <c r="P135" i="3"/>
  <c r="P206" i="3"/>
  <c r="S206" i="3" s="1"/>
  <c r="P184" i="3"/>
  <c r="P211" i="3"/>
  <c r="S211" i="3" s="1"/>
  <c r="P174" i="3"/>
  <c r="P177" i="3"/>
  <c r="P156" i="3"/>
  <c r="P147" i="3"/>
  <c r="P118" i="3"/>
  <c r="P200" i="3"/>
  <c r="P168" i="3"/>
  <c r="P151" i="3"/>
  <c r="P116" i="3"/>
  <c r="P171" i="3"/>
  <c r="P167" i="3"/>
  <c r="P127" i="3"/>
  <c r="P113" i="3"/>
  <c r="P212" i="3"/>
  <c r="S212" i="3" s="1"/>
  <c r="P203" i="3"/>
  <c r="P197" i="3"/>
  <c r="P163" i="3"/>
  <c r="P121" i="3"/>
  <c r="P170" i="3"/>
  <c r="P179" i="3"/>
  <c r="P146" i="3"/>
  <c r="S146" i="3" s="1"/>
  <c r="P190" i="3"/>
  <c r="P210" i="3"/>
  <c r="S210" i="3" s="1"/>
  <c r="P159" i="3"/>
  <c r="S159" i="3" s="1"/>
  <c r="P115" i="3"/>
  <c r="P126" i="3"/>
  <c r="P202" i="3"/>
  <c r="P178" i="3"/>
  <c r="S178" i="3" s="1"/>
  <c r="P164" i="3"/>
  <c r="P125" i="3"/>
  <c r="P172" i="3"/>
  <c r="P165" i="3"/>
  <c r="P158" i="3"/>
  <c r="P209" i="3"/>
  <c r="S209" i="3" s="1"/>
  <c r="P138" i="3"/>
  <c r="P193" i="3"/>
  <c r="P119" i="3"/>
  <c r="S119" i="3" s="1"/>
  <c r="P207" i="3"/>
  <c r="S207" i="3" s="1"/>
  <c r="P191" i="3"/>
  <c r="P160" i="3"/>
  <c r="P176" i="3"/>
  <c r="P142" i="3"/>
  <c r="P194" i="3"/>
  <c r="S194" i="3" s="1"/>
  <c r="P204" i="3"/>
  <c r="P141" i="3"/>
  <c r="P114" i="3"/>
  <c r="P173" i="3"/>
  <c r="P199" i="3"/>
  <c r="H78" i="3"/>
  <c r="S165" i="3"/>
  <c r="H123" i="3"/>
  <c r="H83" i="2"/>
  <c r="S83" i="2" s="1"/>
  <c r="Q150" i="2"/>
  <c r="N167" i="2"/>
  <c r="Q168" i="2"/>
  <c r="N165" i="2"/>
  <c r="O135" i="3"/>
  <c r="S135" i="3" s="1"/>
  <c r="Q133" i="2"/>
  <c r="H93" i="2"/>
  <c r="S93" i="2" s="1"/>
  <c r="N146" i="2"/>
  <c r="H86" i="3"/>
  <c r="N147" i="2"/>
  <c r="Q213" i="2"/>
  <c r="H115" i="3"/>
  <c r="O146" i="3"/>
  <c r="H86" i="2"/>
  <c r="S86" i="2" s="1"/>
  <c r="N111" i="2"/>
  <c r="N135" i="2"/>
  <c r="H115" i="2"/>
  <c r="S90" i="5"/>
  <c r="S73" i="5"/>
  <c r="S104" i="5"/>
  <c r="S53" i="5"/>
  <c r="S118" i="5"/>
  <c r="S91" i="3"/>
  <c r="S58" i="3"/>
  <c r="S50" i="2"/>
  <c r="S66" i="2"/>
  <c r="S60" i="2"/>
  <c r="S142" i="3"/>
  <c r="N101" i="2"/>
  <c r="M179" i="2"/>
  <c r="M172" i="2"/>
  <c r="M135" i="2"/>
  <c r="M124" i="2"/>
  <c r="M161" i="2"/>
  <c r="M155" i="2"/>
  <c r="M148" i="2"/>
  <c r="M184" i="2"/>
  <c r="M178" i="2"/>
  <c r="M169" i="2"/>
  <c r="M152" i="2"/>
  <c r="M163" i="2"/>
  <c r="M136" i="2"/>
  <c r="M128" i="2"/>
  <c r="M122" i="2"/>
  <c r="M92" i="2"/>
  <c r="M181" i="2"/>
  <c r="M151" i="2"/>
  <c r="M104" i="2"/>
  <c r="M188" i="2"/>
  <c r="M142" i="2"/>
  <c r="M137" i="2"/>
  <c r="M123" i="2"/>
  <c r="M117" i="2"/>
  <c r="M112" i="2"/>
  <c r="M108" i="2"/>
  <c r="M101" i="2"/>
  <c r="S101" i="2" s="1"/>
  <c r="M95" i="2"/>
  <c r="S95" i="2" s="1"/>
  <c r="M176" i="2"/>
  <c r="M168" i="2"/>
  <c r="M138" i="2"/>
  <c r="M130" i="2"/>
  <c r="M118" i="2"/>
  <c r="M189" i="2"/>
  <c r="M171" i="2"/>
  <c r="M134" i="2"/>
  <c r="M173" i="2"/>
  <c r="M106" i="2"/>
  <c r="M182" i="2"/>
  <c r="M140" i="2"/>
  <c r="M126" i="2"/>
  <c r="M113" i="2"/>
  <c r="M129" i="2"/>
  <c r="M185" i="2"/>
  <c r="M156" i="2"/>
  <c r="M99" i="2"/>
  <c r="S99" i="2" s="1"/>
  <c r="M147" i="2"/>
  <c r="M121" i="2"/>
  <c r="M111" i="2"/>
  <c r="M109" i="2"/>
  <c r="M97" i="2"/>
  <c r="M91" i="2"/>
  <c r="M160" i="2"/>
  <c r="M145" i="2"/>
  <c r="M143" i="2"/>
  <c r="M116" i="2"/>
  <c r="M89" i="2"/>
  <c r="M157" i="2"/>
  <c r="M154" i="2"/>
  <c r="M144" i="2"/>
  <c r="M131" i="2"/>
  <c r="M187" i="2"/>
  <c r="M164" i="2"/>
  <c r="M150" i="2"/>
  <c r="M110" i="2"/>
  <c r="M153" i="2"/>
  <c r="M133" i="2"/>
  <c r="M107" i="2"/>
  <c r="M175" i="2"/>
  <c r="M149" i="2"/>
  <c r="M93" i="2"/>
  <c r="M174" i="2"/>
  <c r="M158" i="2"/>
  <c r="M96" i="2"/>
  <c r="S96" i="2" s="1"/>
  <c r="M114" i="2"/>
  <c r="M141" i="2"/>
  <c r="M100" i="2"/>
  <c r="M180" i="2"/>
  <c r="M167" i="2"/>
  <c r="M162" i="2"/>
  <c r="M127" i="2"/>
  <c r="M186" i="2"/>
  <c r="M120" i="2"/>
  <c r="M183" i="2"/>
  <c r="M170" i="2"/>
  <c r="M165" i="2"/>
  <c r="M115" i="2"/>
  <c r="M159" i="2"/>
  <c r="M103" i="2"/>
  <c r="M125" i="2"/>
  <c r="M132" i="2"/>
  <c r="M105" i="2"/>
  <c r="M166" i="2"/>
  <c r="M139" i="2"/>
  <c r="M102" i="2"/>
  <c r="S102" i="2" s="1"/>
  <c r="M177" i="2"/>
  <c r="M94" i="2"/>
  <c r="M119" i="2"/>
  <c r="M146" i="2"/>
  <c r="M98" i="2"/>
  <c r="M90" i="2"/>
  <c r="S217" i="5"/>
  <c r="H140" i="2"/>
  <c r="H56" i="2"/>
  <c r="S56" i="2" s="1"/>
  <c r="Q218" i="2"/>
  <c r="H100" i="2"/>
  <c r="S100" i="2" s="1"/>
  <c r="H65" i="2"/>
  <c r="S65" i="2" s="1"/>
  <c r="N159" i="2"/>
  <c r="H69" i="2"/>
  <c r="S69" i="2" s="1"/>
  <c r="Q216" i="2"/>
  <c r="O127" i="3"/>
  <c r="N116" i="2"/>
  <c r="O108" i="3"/>
  <c r="S215" i="5"/>
  <c r="N161" i="2"/>
  <c r="O158" i="3"/>
  <c r="Q151" i="2"/>
  <c r="H88" i="3"/>
  <c r="S88" i="3" s="1"/>
  <c r="S221" i="3"/>
  <c r="O179" i="3"/>
  <c r="S179" i="3" s="1"/>
  <c r="N144" i="2"/>
  <c r="H145" i="3"/>
  <c r="H64" i="3"/>
  <c r="Q165" i="2"/>
  <c r="H98" i="2"/>
  <c r="S98" i="2" s="1"/>
  <c r="H110" i="3"/>
  <c r="S110" i="3" s="1"/>
  <c r="Q124" i="2"/>
  <c r="H68" i="3"/>
  <c r="S68" i="3" s="1"/>
  <c r="O186" i="3"/>
  <c r="S75" i="5"/>
  <c r="S89" i="5"/>
  <c r="S65" i="5"/>
  <c r="S59" i="5"/>
  <c r="S53" i="3"/>
  <c r="S98" i="3"/>
  <c r="S69" i="3"/>
  <c r="S54" i="2"/>
  <c r="S55" i="2"/>
  <c r="S108" i="2" l="1"/>
  <c r="S151" i="2"/>
  <c r="S114" i="2"/>
  <c r="S112" i="2"/>
  <c r="S128" i="2"/>
  <c r="S146" i="2"/>
  <c r="S113" i="2"/>
  <c r="S154" i="2"/>
  <c r="S163" i="2"/>
  <c r="S158" i="2"/>
  <c r="S178" i="2"/>
  <c r="S123" i="2"/>
  <c r="S106" i="2"/>
  <c r="S159" i="5"/>
  <c r="S162" i="5"/>
  <c r="S149" i="2"/>
  <c r="S205" i="3"/>
  <c r="S186" i="3"/>
  <c r="S207" i="2"/>
  <c r="S189" i="3"/>
  <c r="S187" i="3"/>
  <c r="S173" i="3"/>
  <c r="S163" i="5"/>
  <c r="S211" i="2"/>
  <c r="S198" i="3"/>
  <c r="S183" i="3"/>
  <c r="S158" i="5"/>
  <c r="T41" i="5" s="1"/>
  <c r="S218" i="2"/>
  <c r="S193" i="2"/>
  <c r="S196" i="5"/>
  <c r="S167" i="2"/>
  <c r="S170" i="3"/>
  <c r="S165" i="5"/>
  <c r="S182" i="3"/>
  <c r="S171" i="3"/>
  <c r="S202" i="3"/>
  <c r="S184" i="3"/>
  <c r="R166" i="2"/>
  <c r="R179" i="2"/>
  <c r="R187" i="2"/>
  <c r="R134" i="2"/>
  <c r="S134" i="2" s="1"/>
  <c r="R169" i="2"/>
  <c r="S169" i="2" s="1"/>
  <c r="R132" i="2"/>
  <c r="R217" i="2"/>
  <c r="R220" i="2"/>
  <c r="S220" i="2" s="1"/>
  <c r="R190" i="2"/>
  <c r="R191" i="2"/>
  <c r="S191" i="2" s="1"/>
  <c r="R207" i="2"/>
  <c r="R139" i="2"/>
  <c r="R138" i="2"/>
  <c r="R208" i="2"/>
  <c r="R181" i="2"/>
  <c r="R145" i="2"/>
  <c r="R195" i="2"/>
  <c r="R206" i="2"/>
  <c r="R213" i="2"/>
  <c r="S213" i="2" s="1"/>
  <c r="R172" i="2"/>
  <c r="R173" i="2"/>
  <c r="R199" i="2"/>
  <c r="R148" i="2"/>
  <c r="S148" i="2" s="1"/>
  <c r="R131" i="2"/>
  <c r="R161" i="2"/>
  <c r="R130" i="2"/>
  <c r="R210" i="2"/>
  <c r="R129" i="2"/>
  <c r="R182" i="2"/>
  <c r="R159" i="2"/>
  <c r="R133" i="2"/>
  <c r="R168" i="2"/>
  <c r="R176" i="2"/>
  <c r="R163" i="2"/>
  <c r="R135" i="2"/>
  <c r="R200" i="2"/>
  <c r="R180" i="2"/>
  <c r="R226" i="2"/>
  <c r="S226" i="2" s="1"/>
  <c r="R136" i="2"/>
  <c r="R142" i="2"/>
  <c r="R227" i="2"/>
  <c r="S227" i="2" s="1"/>
  <c r="R147" i="2"/>
  <c r="S147" i="2" s="1"/>
  <c r="R170" i="2"/>
  <c r="R164" i="2"/>
  <c r="R150" i="2"/>
  <c r="R171" i="2"/>
  <c r="R196" i="2"/>
  <c r="R204" i="2"/>
  <c r="R184" i="2"/>
  <c r="R209" i="2"/>
  <c r="S209" i="2" s="1"/>
  <c r="R185" i="2"/>
  <c r="R137" i="2"/>
  <c r="S137" i="2" s="1"/>
  <c r="R146" i="2"/>
  <c r="R198" i="2"/>
  <c r="R183" i="2"/>
  <c r="R165" i="2"/>
  <c r="S165" i="2" s="1"/>
  <c r="R205" i="2"/>
  <c r="R174" i="2"/>
  <c r="R144" i="2"/>
  <c r="R194" i="2"/>
  <c r="R156" i="2"/>
  <c r="R228" i="2"/>
  <c r="S228" i="2" s="1"/>
  <c r="R215" i="2"/>
  <c r="R177" i="2"/>
  <c r="R154" i="2"/>
  <c r="R203" i="2"/>
  <c r="R157" i="2"/>
  <c r="R218" i="2"/>
  <c r="R155" i="2"/>
  <c r="R189" i="2"/>
  <c r="R153" i="2"/>
  <c r="R188" i="2"/>
  <c r="R140" i="2"/>
  <c r="R186" i="2"/>
  <c r="R149" i="2"/>
  <c r="R219" i="2"/>
  <c r="S219" i="2" s="1"/>
  <c r="R151" i="2"/>
  <c r="R211" i="2"/>
  <c r="R225" i="2"/>
  <c r="S225" i="2" s="1"/>
  <c r="R214" i="2"/>
  <c r="S214" i="2" s="1"/>
  <c r="R162" i="2"/>
  <c r="R202" i="2"/>
  <c r="R143" i="2"/>
  <c r="R223" i="2"/>
  <c r="S223" i="2" s="1"/>
  <c r="R158" i="2"/>
  <c r="R160" i="2"/>
  <c r="R222" i="2"/>
  <c r="S222" i="2" s="1"/>
  <c r="R216" i="2"/>
  <c r="R221" i="2"/>
  <c r="S221" i="2" s="1"/>
  <c r="R192" i="2"/>
  <c r="S192" i="2" s="1"/>
  <c r="R167" i="2"/>
  <c r="R178" i="2"/>
  <c r="R141" i="2"/>
  <c r="R152" i="2"/>
  <c r="R193" i="2"/>
  <c r="R175" i="2"/>
  <c r="R224" i="2"/>
  <c r="S224" i="2" s="1"/>
  <c r="R229" i="2"/>
  <c r="S229" i="2" s="1"/>
  <c r="R212" i="2"/>
  <c r="R197" i="2"/>
  <c r="R201" i="2"/>
  <c r="S175" i="5"/>
  <c r="S169" i="3"/>
  <c r="S208" i="2"/>
  <c r="S212" i="2"/>
  <c r="S187" i="2"/>
  <c r="O192" i="2"/>
  <c r="O197" i="2"/>
  <c r="O137" i="2"/>
  <c r="O175" i="2"/>
  <c r="S175" i="2" s="1"/>
  <c r="O134" i="2"/>
  <c r="O193" i="2"/>
  <c r="O196" i="2"/>
  <c r="S196" i="2" s="1"/>
  <c r="O127" i="2"/>
  <c r="S127" i="2" s="1"/>
  <c r="O144" i="2"/>
  <c r="S144" i="2" s="1"/>
  <c r="O195" i="2"/>
  <c r="S195" i="2" s="1"/>
  <c r="O198" i="2"/>
  <c r="S198" i="2" s="1"/>
  <c r="O184" i="2"/>
  <c r="S184" i="2" s="1"/>
  <c r="O118" i="2"/>
  <c r="S118" i="2" s="1"/>
  <c r="O125" i="2"/>
  <c r="S125" i="2" s="1"/>
  <c r="O189" i="2"/>
  <c r="S189" i="2" s="1"/>
  <c r="O147" i="2"/>
  <c r="O136" i="2"/>
  <c r="O156" i="2"/>
  <c r="S156" i="2" s="1"/>
  <c r="O202" i="2"/>
  <c r="O203" i="2"/>
  <c r="O133" i="2"/>
  <c r="O155" i="2"/>
  <c r="S155" i="2" s="1"/>
  <c r="O163" i="2"/>
  <c r="O173" i="2"/>
  <c r="S173" i="2" s="1"/>
  <c r="O205" i="2"/>
  <c r="O113" i="2"/>
  <c r="O126" i="2"/>
  <c r="S126" i="2" s="1"/>
  <c r="O139" i="2"/>
  <c r="S139" i="2" s="1"/>
  <c r="O161" i="2"/>
  <c r="S161" i="2" s="1"/>
  <c r="O105" i="2"/>
  <c r="S105" i="2" s="1"/>
  <c r="O116" i="2"/>
  <c r="S116" i="2" s="1"/>
  <c r="O124" i="2"/>
  <c r="S124" i="2" s="1"/>
  <c r="O123" i="2"/>
  <c r="O160" i="2"/>
  <c r="S160" i="2" s="1"/>
  <c r="O115" i="2"/>
  <c r="S115" i="2" s="1"/>
  <c r="O183" i="2"/>
  <c r="O158" i="2"/>
  <c r="O112" i="2"/>
  <c r="O165" i="2"/>
  <c r="O182" i="2"/>
  <c r="S182" i="2" s="1"/>
  <c r="O170" i="2"/>
  <c r="S170" i="2" s="1"/>
  <c r="O194" i="2"/>
  <c r="S194" i="2" s="1"/>
  <c r="O140" i="2"/>
  <c r="O185" i="2"/>
  <c r="S185" i="2" s="1"/>
  <c r="O201" i="2"/>
  <c r="S201" i="2" s="1"/>
  <c r="O164" i="2"/>
  <c r="S164" i="2" s="1"/>
  <c r="O111" i="2"/>
  <c r="S111" i="2" s="1"/>
  <c r="O176" i="2"/>
  <c r="S176" i="2" s="1"/>
  <c r="O120" i="2"/>
  <c r="S120" i="2" s="1"/>
  <c r="O146" i="2"/>
  <c r="O106" i="2"/>
  <c r="O130" i="2"/>
  <c r="S130" i="2" s="1"/>
  <c r="O150" i="2"/>
  <c r="S150" i="2" s="1"/>
  <c r="O145" i="2"/>
  <c r="S145" i="2" s="1"/>
  <c r="O107" i="2"/>
  <c r="S107" i="2" s="1"/>
  <c r="O172" i="2"/>
  <c r="S172" i="2" s="1"/>
  <c r="O162" i="2"/>
  <c r="S162" i="2" s="1"/>
  <c r="O171" i="2"/>
  <c r="S171" i="2" s="1"/>
  <c r="O153" i="2"/>
  <c r="O159" i="2"/>
  <c r="S159" i="2" s="1"/>
  <c r="O166" i="2"/>
  <c r="S166" i="2" s="1"/>
  <c r="O186" i="2"/>
  <c r="S186" i="2" s="1"/>
  <c r="O110" i="2"/>
  <c r="S110" i="2" s="1"/>
  <c r="O135" i="2"/>
  <c r="S135" i="2" s="1"/>
  <c r="O200" i="2"/>
  <c r="O148" i="2"/>
  <c r="O114" i="2"/>
  <c r="O179" i="2"/>
  <c r="O178" i="2"/>
  <c r="O181" i="2"/>
  <c r="S181" i="2" s="1"/>
  <c r="O122" i="2"/>
  <c r="S122" i="2" s="1"/>
  <c r="O180" i="2"/>
  <c r="S180" i="2" s="1"/>
  <c r="O131" i="2"/>
  <c r="S131" i="2" s="1"/>
  <c r="O188" i="2"/>
  <c r="O132" i="2"/>
  <c r="S132" i="2" s="1"/>
  <c r="O141" i="2"/>
  <c r="S141" i="2" s="1"/>
  <c r="O129" i="2"/>
  <c r="S129" i="2" s="1"/>
  <c r="O174" i="2"/>
  <c r="O138" i="2"/>
  <c r="S138" i="2" s="1"/>
  <c r="O204" i="2"/>
  <c r="S204" i="2" s="1"/>
  <c r="O191" i="2"/>
  <c r="O128" i="2"/>
  <c r="O151" i="2"/>
  <c r="O157" i="2"/>
  <c r="O169" i="2"/>
  <c r="O152" i="2"/>
  <c r="S152" i="2" s="1"/>
  <c r="O154" i="2"/>
  <c r="O199" i="2"/>
  <c r="O190" i="2"/>
  <c r="S190" i="2" s="1"/>
  <c r="O167" i="2"/>
  <c r="O121" i="2"/>
  <c r="S121" i="2" s="1"/>
  <c r="O119" i="2"/>
  <c r="S119" i="2" s="1"/>
  <c r="O187" i="2"/>
  <c r="O117" i="2"/>
  <c r="S117" i="2" s="1"/>
  <c r="O168" i="2"/>
  <c r="S168" i="2" s="1"/>
  <c r="O177" i="2"/>
  <c r="S177" i="2" s="1"/>
  <c r="O109" i="2"/>
  <c r="S109" i="2" s="1"/>
  <c r="O143" i="2"/>
  <c r="S143" i="2" s="1"/>
  <c r="O142" i="2"/>
  <c r="O108" i="2"/>
  <c r="O149" i="2"/>
  <c r="S210" i="2"/>
  <c r="S179" i="5"/>
  <c r="S181" i="5"/>
  <c r="S164" i="5"/>
  <c r="S178" i="5"/>
  <c r="S183" i="2"/>
  <c r="S188" i="2"/>
  <c r="S217" i="2"/>
  <c r="S177" i="5"/>
  <c r="S160" i="5"/>
  <c r="S145" i="3"/>
  <c r="S143" i="3"/>
  <c r="S168" i="3"/>
  <c r="S215" i="2"/>
  <c r="S204" i="3"/>
  <c r="S166" i="3"/>
  <c r="T41" i="3" s="1"/>
  <c r="S206" i="2"/>
  <c r="S188" i="3"/>
  <c r="S185" i="3"/>
  <c r="S216" i="2"/>
  <c r="S180" i="5"/>
  <c r="S167" i="3"/>
  <c r="S172" i="3"/>
  <c r="S140" i="2" l="1"/>
  <c r="S153" i="2"/>
  <c r="S133" i="2"/>
  <c r="S174" i="2"/>
  <c r="S179" i="2"/>
  <c r="S203" i="2"/>
  <c r="S142" i="2"/>
  <c r="S202" i="2"/>
  <c r="S199" i="2"/>
  <c r="S157" i="2"/>
  <c r="S197" i="2"/>
  <c r="S200" i="2"/>
  <c r="S136" i="2"/>
  <c r="S205" i="2"/>
  <c r="T41" i="2" s="1"/>
  <c r="E16" i="6" l="1"/>
  <c r="E17" i="6"/>
  <c r="E20" i="6" s="1"/>
</calcChain>
</file>

<file path=xl/sharedStrings.xml><?xml version="1.0" encoding="utf-8"?>
<sst xmlns="http://schemas.openxmlformats.org/spreadsheetml/2006/main" count="372" uniqueCount="160">
  <si>
    <t>MÉTODO RACIONAL</t>
  </si>
  <si>
    <t>COMPLETAR</t>
  </si>
  <si>
    <t>CUENCA GRANDE</t>
  </si>
  <si>
    <t>CUENCA CHICA</t>
  </si>
  <si>
    <t>tc (hs)</t>
  </si>
  <si>
    <t>L (Km)</t>
  </si>
  <si>
    <t>S (%)</t>
  </si>
  <si>
    <t>Qmax(m3/s) =</t>
  </si>
  <si>
    <t>c =</t>
  </si>
  <si>
    <t xml:space="preserve">i(mm/h) = </t>
  </si>
  <si>
    <t>P (mm) =</t>
  </si>
  <si>
    <t>P3,10 (mm) =</t>
  </si>
  <si>
    <t>CT =</t>
  </si>
  <si>
    <t>Tr</t>
  </si>
  <si>
    <t>CD =</t>
  </si>
  <si>
    <t>CA =</t>
  </si>
  <si>
    <t>Si pluv. CA = 1</t>
  </si>
  <si>
    <t>tc (hs) = d =</t>
  </si>
  <si>
    <t>Ac (ha) =</t>
  </si>
  <si>
    <t>Ac (km2) =</t>
  </si>
  <si>
    <t>Período de Retorno (años)</t>
  </si>
  <si>
    <t>Caracaterísticas de la superficie</t>
  </si>
  <si>
    <t>Áreas desarrolladas</t>
  </si>
  <si>
    <t>Asfáltico</t>
  </si>
  <si>
    <t>0,73</t>
  </si>
  <si>
    <t>0,77</t>
  </si>
  <si>
    <t>0,81</t>
  </si>
  <si>
    <t>0,86</t>
  </si>
  <si>
    <t>0,9</t>
  </si>
  <si>
    <t>0,95</t>
  </si>
  <si>
    <t>Concreto/techo</t>
  </si>
  <si>
    <t>0,75</t>
  </si>
  <si>
    <t>0,82</t>
  </si>
  <si>
    <t>0,88</t>
  </si>
  <si>
    <t>0,92</t>
  </si>
  <si>
    <t>0,97</t>
  </si>
  <si>
    <t>Zonas verdes</t>
  </si>
  <si>
    <t>Condición pobre (cubierta de pasto menor del 50% del área)</t>
  </si>
  <si>
    <t>Plano 0-2%</t>
  </si>
  <si>
    <t>0,32</t>
  </si>
  <si>
    <t>0,34</t>
  </si>
  <si>
    <t>Promedio 2-7%</t>
  </si>
  <si>
    <t>0,53</t>
  </si>
  <si>
    <t>Pendiente &gt;7%</t>
  </si>
  <si>
    <t>0,49</t>
  </si>
  <si>
    <t>0,52</t>
  </si>
  <si>
    <t>0,55</t>
  </si>
  <si>
    <t>Condición normal (cubierta de pasto del 50-75% del área)</t>
  </si>
  <si>
    <t>Condición buena (cubierta de pasto &gt;75% del área), Plano 0-2%</t>
  </si>
  <si>
    <t>Áreas no desarrolladas</t>
  </si>
  <si>
    <t>Areas de cultivos</t>
  </si>
  <si>
    <t>Pastizales</t>
  </si>
  <si>
    <t>Bosques</t>
  </si>
  <si>
    <t>MÉTODO NRCS</t>
  </si>
  <si>
    <t>PARTE 1: TORMENTA DE DISEÑO</t>
  </si>
  <si>
    <t>PARTE 2: PRECIPITACIÓN EFECTIVA</t>
  </si>
  <si>
    <t>Datos:</t>
  </si>
  <si>
    <t>Duración (hs)</t>
  </si>
  <si>
    <t>CD</t>
  </si>
  <si>
    <t>CT</t>
  </si>
  <si>
    <t>CA</t>
  </si>
  <si>
    <r>
      <rPr>
        <sz val="10"/>
        <color theme="1"/>
        <rFont val="Arial"/>
        <family val="2"/>
      </rPr>
      <t>P</t>
    </r>
    <r>
      <rPr>
        <sz val="6"/>
        <color theme="1"/>
        <rFont val="Arial"/>
        <family val="2"/>
      </rPr>
      <t>3,10,p (mm)</t>
    </r>
  </si>
  <si>
    <t>Precipitación (mm)</t>
  </si>
  <si>
    <t>Incrementos (mm)</t>
  </si>
  <si>
    <t>Tormenta (mm)</t>
  </si>
  <si>
    <t>Tormenta Acumulada (mm)</t>
  </si>
  <si>
    <t>Pe (mm)</t>
  </si>
  <si>
    <t>Inc. Pe (mm)</t>
  </si>
  <si>
    <t>Déficit (mm)</t>
  </si>
  <si>
    <t>Pe corregido (mm)</t>
  </si>
  <si>
    <t>Área (km2)</t>
  </si>
  <si>
    <t>Duración total (hs)</t>
  </si>
  <si>
    <t>Período de retorno Tr (años)</t>
  </si>
  <si>
    <t>P3,10,p (mm)</t>
  </si>
  <si>
    <t>Grupo Hidrológico</t>
  </si>
  <si>
    <t>A</t>
  </si>
  <si>
    <t>2.4 mm/h</t>
  </si>
  <si>
    <t>B,C,D</t>
  </si>
  <si>
    <t>1.2 mm/h</t>
  </si>
  <si>
    <t>NC</t>
  </si>
  <si>
    <t xml:space="preserve"> </t>
  </si>
  <si>
    <t>S (mm)</t>
  </si>
  <si>
    <t>Almacenamiento máximo del suelo en la cuenca</t>
  </si>
  <si>
    <t>Ia (mm)</t>
  </si>
  <si>
    <t>Abstracción inicial</t>
  </si>
  <si>
    <t>PARTE 3: HIDROGRAMA UNITARIO</t>
  </si>
  <si>
    <t>tr (hs)</t>
  </si>
  <si>
    <t>N°</t>
  </si>
  <si>
    <t>XHU</t>
  </si>
  <si>
    <t>YHU</t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</si>
  <si>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</si>
  <si>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</si>
  <si>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</si>
  <si>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</si>
  <si>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</si>
  <si>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</si>
  <si>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</si>
  <si>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</si>
  <si>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</si>
  <si>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</si>
  <si>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</si>
  <si>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</si>
  <si>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 xml:space="preserve">Qtot </t>
  </si>
  <si>
    <t>Qmax</t>
  </si>
  <si>
    <t>Tp (hs)</t>
  </si>
  <si>
    <t>Tb (hs)</t>
  </si>
  <si>
    <t>qp (m^3/s/cm)</t>
  </si>
  <si>
    <t>Ec. recta 1</t>
  </si>
  <si>
    <t>a</t>
  </si>
  <si>
    <t>b</t>
  </si>
  <si>
    <t>Ec. recta 2</t>
  </si>
  <si>
    <t>c</t>
  </si>
  <si>
    <t>d</t>
  </si>
  <si>
    <r>
      <rPr>
        <sz val="10"/>
        <color theme="1"/>
        <rFont val="Arial"/>
        <family val="2"/>
      </rPr>
      <t>P</t>
    </r>
    <r>
      <rPr>
        <sz val="6"/>
        <color theme="1"/>
        <rFont val="Arial"/>
        <family val="2"/>
      </rPr>
      <t>3,10,p (mm)</t>
    </r>
  </si>
  <si>
    <t>Tr (hs)</t>
  </si>
  <si>
    <t>EJERCICIO 3 (BIEN)</t>
  </si>
  <si>
    <t>100 ha = 1 km2</t>
  </si>
  <si>
    <t>EJERCICIO 4 (REVISAR)</t>
  </si>
  <si>
    <t>EJERCICIO 6 (BIEN)</t>
  </si>
  <si>
    <r>
      <rPr>
        <sz val="10"/>
        <color theme="1"/>
        <rFont val="Arial"/>
        <family val="2"/>
      </rPr>
      <t>P</t>
    </r>
    <r>
      <rPr>
        <sz val="6"/>
        <color theme="1"/>
        <rFont val="Arial"/>
        <family val="2"/>
      </rPr>
      <t>3,10,p (mm)</t>
    </r>
  </si>
  <si>
    <t>EJERCICIO 2</t>
  </si>
  <si>
    <t xml:space="preserve"> t (min)</t>
  </si>
  <si>
    <t>P (mm)</t>
  </si>
  <si>
    <t>Período de retorno</t>
  </si>
  <si>
    <t>Intensidad máxima: 34 mm en 20 min</t>
  </si>
  <si>
    <t>P(d,Tr,p)</t>
  </si>
  <si>
    <t>CT(Tr)</t>
  </si>
  <si>
    <t>P(3,10,p)</t>
  </si>
  <si>
    <t>CD(d)</t>
  </si>
  <si>
    <t>CA(Ac,d)</t>
  </si>
  <si>
    <t>Verificación</t>
  </si>
  <si>
    <t>Volumen de escorrentía</t>
  </si>
  <si>
    <t>S</t>
  </si>
  <si>
    <t>Área (km^2)</t>
  </si>
  <si>
    <t>Ia</t>
  </si>
  <si>
    <t>d(hs)</t>
  </si>
  <si>
    <t>P acumulada (mm)</t>
  </si>
  <si>
    <t>P efectiva (mm)</t>
  </si>
  <si>
    <t>Vol esc (m^3)</t>
  </si>
  <si>
    <t>Coeficiente de escorrentía</t>
  </si>
  <si>
    <t>SUMA Pe</t>
  </si>
  <si>
    <t>SUMA P</t>
  </si>
  <si>
    <t>C</t>
  </si>
  <si>
    <t>Tiempo de encharcamiento y volumen infiltrado</t>
  </si>
  <si>
    <t>Vol. Inf. (mm)</t>
  </si>
  <si>
    <t>Tench</t>
  </si>
  <si>
    <t>20min</t>
  </si>
  <si>
    <t>2mm</t>
  </si>
  <si>
    <t>15mm</t>
  </si>
  <si>
    <t>Supongo uniforme = 0.75mm/min</t>
  </si>
  <si>
    <t>Tench(min)</t>
  </si>
  <si>
    <t>CASO AMC I:</t>
  </si>
  <si>
    <t>NC(II)</t>
  </si>
  <si>
    <t>S(AMCII)</t>
  </si>
  <si>
    <t>Ia(AMCII)</t>
  </si>
  <si>
    <t>Tench(AMCII)</t>
  </si>
  <si>
    <t>NC(I)</t>
  </si>
  <si>
    <t>S(AMCI)</t>
  </si>
  <si>
    <t>Ia(AMCI)</t>
  </si>
  <si>
    <t>Tench(AMCI)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</si>
</sst>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#,##0.0"/>
    <numFmt numFmtId="167" formatCode="0.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0"/>
      <color rgb="FFFFFFFF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5" borderId="0" xfId="0" applyFont="1" applyFill="1"/>
    <xf numFmtId="2" fontId="2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4" fontId="2" fillId="8" borderId="2" xfId="0" applyNumberFormat="1" applyFont="1" applyFill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4" fontId="7" fillId="7" borderId="7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4" fontId="2" fillId="9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" fontId="2" fillId="8" borderId="1" xfId="0" applyNumberFormat="1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2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2" fillId="3" borderId="0" xfId="0" applyFont="1" applyFill="1"/>
    <xf numFmtId="165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/>
    </xf>
    <xf numFmtId="167" fontId="2" fillId="0" borderId="0" xfId="0" applyNumberFormat="1" applyFont="1"/>
    <xf numFmtId="0" fontId="2" fillId="3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3" xfId="0" applyFont="1" applyBorder="1"/>
    <xf numFmtId="4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5" xfId="0" applyFont="1" applyBorder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6" fillId="0" borderId="5" xfId="0" applyFont="1" applyBorder="1" applyAlignment="1">
      <alignment horizontal="left" vertical="top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5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7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 black"/>
              </a:defRPr>
            </a:pPr>
            <a:r>
              <a:rPr b="0">
                <a:solidFill>
                  <a:schemeClr val="dk1"/>
                </a:solidFill>
                <a:latin typeface="Arial black"/>
              </a:rPr>
              <a:t>Tormenta de Diseño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'NRCS - Gande'!$H$19</c:f>
              <c:numCache>
                <c:formatCode>General</c:formatCode>
                <c:ptCount val="1"/>
              </c:numCache>
            </c:numRef>
          </c:cat>
          <c:val>
            <c:numRef>
              <c:f>'NRCS - Gande'!$N$6:$N$17</c:f>
              <c:numCache>
                <c:formatCode>0.000</c:formatCode>
                <c:ptCount val="12"/>
                <c:pt idx="0">
                  <c:v>3.120353492313086</c:v>
                </c:pt>
                <c:pt idx="1">
                  <c:v>3.5734461332670833</c:v>
                </c:pt>
                <c:pt idx="2">
                  <c:v>4.0876215505998204</c:v>
                </c:pt>
                <c:pt idx="3">
                  <c:v>4.8790093541758779</c:v>
                </c:pt>
                <c:pt idx="4">
                  <c:v>6.3269303124827445</c:v>
                </c:pt>
                <c:pt idx="5">
                  <c:v>10.463647304297151</c:v>
                </c:pt>
                <c:pt idx="6">
                  <c:v>25.788318060808532</c:v>
                </c:pt>
                <c:pt idx="7">
                  <c:v>7.697778720238901</c:v>
                </c:pt>
                <c:pt idx="8">
                  <c:v>5.4737098040950016</c:v>
                </c:pt>
                <c:pt idx="9">
                  <c:v>4.4349647888841872</c:v>
                </c:pt>
                <c:pt idx="10">
                  <c:v>3.806628469465366</c:v>
                </c:pt>
                <c:pt idx="11">
                  <c:v>3.3760345885324199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EE-4D3A-86B7-FFBDD5E76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1554570"/>
        <c:axId val="710005718"/>
      </c:barChart>
      <c:catAx>
        <c:axId val="1841554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710005718"/>
        <c:crosses val="autoZero"/>
        <c:auto val="1"/>
        <c:lblAlgn val="ctr"/>
        <c:lblOffset val="100"/>
        <c:noMultiLvlLbl val="1"/>
      </c:catAx>
      <c:valAx>
        <c:axId val="710005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Precipitación (mm/h)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8415545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Caudal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'NRCS - Gande'!$S$41</c:f>
              <c:strCache>
                <c:ptCount val="1"/>
                <c:pt idx="0">
                  <c:v>0.00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'NRCS - Gande'!$E$42:$E$229</c:f>
              <c:numCache>
                <c:formatCode>#,##0.00</c:formatCode>
                <c:ptCount val="188"/>
                <c:pt idx="0">
                  <c:v>3.2505688259241002E-2</c:v>
                </c:pt>
                <c:pt idx="1">
                  <c:v>6.5011376518482003E-2</c:v>
                </c:pt>
                <c:pt idx="2">
                  <c:v>9.7517064777723012E-2</c:v>
                </c:pt>
                <c:pt idx="3">
                  <c:v>0.13002275303696401</c:v>
                </c:pt>
                <c:pt idx="4">
                  <c:v>0.162528441296205</c:v>
                </c:pt>
                <c:pt idx="5">
                  <c:v>0.19503412955544602</c:v>
                </c:pt>
                <c:pt idx="6">
                  <c:v>0.22753981781468702</c:v>
                </c:pt>
                <c:pt idx="7">
                  <c:v>0.26004550607392801</c:v>
                </c:pt>
                <c:pt idx="8">
                  <c:v>0.29255119433316901</c:v>
                </c:pt>
                <c:pt idx="9">
                  <c:v>0.32505688259241</c:v>
                </c:pt>
                <c:pt idx="10">
                  <c:v>0.357562570851651</c:v>
                </c:pt>
                <c:pt idx="11">
                  <c:v>0.39006825911089205</c:v>
                </c:pt>
                <c:pt idx="12">
                  <c:v>0.42257394737013304</c:v>
                </c:pt>
                <c:pt idx="13">
                  <c:v>0.45507963562937404</c:v>
                </c:pt>
                <c:pt idx="14">
                  <c:v>0.48758532388861503</c:v>
                </c:pt>
                <c:pt idx="15">
                  <c:v>0.52009101214785602</c:v>
                </c:pt>
                <c:pt idx="16">
                  <c:v>0.55259670040709707</c:v>
                </c:pt>
                <c:pt idx="17">
                  <c:v>0.58510238866633801</c:v>
                </c:pt>
                <c:pt idx="18">
                  <c:v>0.61760807692557906</c:v>
                </c:pt>
                <c:pt idx="19">
                  <c:v>0.65011376518482</c:v>
                </c:pt>
                <c:pt idx="20">
                  <c:v>0.68261945344406105</c:v>
                </c:pt>
                <c:pt idx="21">
                  <c:v>0.71512514170330199</c:v>
                </c:pt>
                <c:pt idx="22">
                  <c:v>0.74763082996254304</c:v>
                </c:pt>
                <c:pt idx="23">
                  <c:v>0.78013651822178409</c:v>
                </c:pt>
                <c:pt idx="24">
                  <c:v>0.81264220648102503</c:v>
                </c:pt>
                <c:pt idx="25">
                  <c:v>0.84514789474026608</c:v>
                </c:pt>
                <c:pt idx="26">
                  <c:v>0.87765358299950702</c:v>
                </c:pt>
                <c:pt idx="27">
                  <c:v>0.91015927125874807</c:v>
                </c:pt>
                <c:pt idx="28">
                  <c:v>0.94266495951798901</c:v>
                </c:pt>
                <c:pt idx="29">
                  <c:v>0.97517064777723006</c:v>
                </c:pt>
                <c:pt idx="30">
                  <c:v>1.0076763360364711</c:v>
                </c:pt>
                <c:pt idx="31">
                  <c:v>1.040182024295712</c:v>
                </c:pt>
                <c:pt idx="32">
                  <c:v>1.072687712554953</c:v>
                </c:pt>
                <c:pt idx="33">
                  <c:v>1.1051934008141941</c:v>
                </c:pt>
                <c:pt idx="34">
                  <c:v>1.1376990890734351</c:v>
                </c:pt>
                <c:pt idx="35">
                  <c:v>1.170204777332676</c:v>
                </c:pt>
                <c:pt idx="36">
                  <c:v>1.202710465591917</c:v>
                </c:pt>
                <c:pt idx="37">
                  <c:v>1.2352161538511581</c:v>
                </c:pt>
                <c:pt idx="38">
                  <c:v>1.2677218421103991</c:v>
                </c:pt>
                <c:pt idx="39">
                  <c:v>1.30022753036964</c:v>
                </c:pt>
                <c:pt idx="40">
                  <c:v>1.3327332186288812</c:v>
                </c:pt>
                <c:pt idx="41">
                  <c:v>1.3652389068881221</c:v>
                </c:pt>
                <c:pt idx="42">
                  <c:v>1.397744595147363</c:v>
                </c:pt>
                <c:pt idx="43">
                  <c:v>1.430250283406604</c:v>
                </c:pt>
                <c:pt idx="44">
                  <c:v>1.4627559716658451</c:v>
                </c:pt>
                <c:pt idx="45">
                  <c:v>1.4952616599250861</c:v>
                </c:pt>
                <c:pt idx="46">
                  <c:v>1.527767348184327</c:v>
                </c:pt>
                <c:pt idx="47">
                  <c:v>1.5602730364435682</c:v>
                </c:pt>
                <c:pt idx="48">
                  <c:v>1.5927787247028091</c:v>
                </c:pt>
                <c:pt idx="49">
                  <c:v>1.6252844129620501</c:v>
                </c:pt>
                <c:pt idx="50">
                  <c:v>1.657790101221291</c:v>
                </c:pt>
                <c:pt idx="51">
                  <c:v>1.6902957894805322</c:v>
                </c:pt>
                <c:pt idx="52">
                  <c:v>1.7228014777397731</c:v>
                </c:pt>
                <c:pt idx="53">
                  <c:v>1.755307165999014</c:v>
                </c:pt>
                <c:pt idx="54">
                  <c:v>1.787812854258255</c:v>
                </c:pt>
                <c:pt idx="55">
                  <c:v>1.8203185425174961</c:v>
                </c:pt>
                <c:pt idx="56">
                  <c:v>1.8528242307767371</c:v>
                </c:pt>
                <c:pt idx="57">
                  <c:v>1.885329919035978</c:v>
                </c:pt>
                <c:pt idx="58">
                  <c:v>1.9178356072952192</c:v>
                </c:pt>
                <c:pt idx="59">
                  <c:v>1.9503412955544601</c:v>
                </c:pt>
                <c:pt idx="60">
                  <c:v>1.9828469838137011</c:v>
                </c:pt>
                <c:pt idx="61">
                  <c:v>2.0153526720729422</c:v>
                </c:pt>
                <c:pt idx="62">
                  <c:v>2.0478583603321829</c:v>
                </c:pt>
                <c:pt idx="63">
                  <c:v>2.0803640485914241</c:v>
                </c:pt>
                <c:pt idx="64">
                  <c:v>2.1128697368506653</c:v>
                </c:pt>
                <c:pt idx="65">
                  <c:v>2.145375425109906</c:v>
                </c:pt>
                <c:pt idx="66">
                  <c:v>2.1778811133691471</c:v>
                </c:pt>
                <c:pt idx="67">
                  <c:v>2.2103868016283883</c:v>
                </c:pt>
                <c:pt idx="68">
                  <c:v>2.242892489887629</c:v>
                </c:pt>
                <c:pt idx="69">
                  <c:v>2.2753981781468702</c:v>
                </c:pt>
                <c:pt idx="70">
                  <c:v>2.3079038664061109</c:v>
                </c:pt>
                <c:pt idx="71">
                  <c:v>2.3404095546653521</c:v>
                </c:pt>
                <c:pt idx="72">
                  <c:v>2.3729152429245932</c:v>
                </c:pt>
                <c:pt idx="73">
                  <c:v>2.4054209311838339</c:v>
                </c:pt>
                <c:pt idx="74">
                  <c:v>2.4379266194430751</c:v>
                </c:pt>
                <c:pt idx="75">
                  <c:v>2.4704323077023163</c:v>
                </c:pt>
                <c:pt idx="76">
                  <c:v>2.502937995961557</c:v>
                </c:pt>
                <c:pt idx="77">
                  <c:v>2.5354436842207981</c:v>
                </c:pt>
                <c:pt idx="78">
                  <c:v>2.5679493724800393</c:v>
                </c:pt>
                <c:pt idx="79">
                  <c:v>2.60045506073928</c:v>
                </c:pt>
                <c:pt idx="80">
                  <c:v>2.6329607489985212</c:v>
                </c:pt>
                <c:pt idx="81">
                  <c:v>2.6654664372577623</c:v>
                </c:pt>
                <c:pt idx="82">
                  <c:v>2.6979721255170031</c:v>
                </c:pt>
                <c:pt idx="83">
                  <c:v>2.7304778137762442</c:v>
                </c:pt>
                <c:pt idx="84">
                  <c:v>2.7629835020354849</c:v>
                </c:pt>
                <c:pt idx="85">
                  <c:v>2.7954891902947261</c:v>
                </c:pt>
                <c:pt idx="86">
                  <c:v>2.8279948785539673</c:v>
                </c:pt>
                <c:pt idx="87">
                  <c:v>2.860500566813208</c:v>
                </c:pt>
                <c:pt idx="88">
                  <c:v>2.8930062550724491</c:v>
                </c:pt>
                <c:pt idx="89">
                  <c:v>2.9255119433316903</c:v>
                </c:pt>
                <c:pt idx="90">
                  <c:v>2.958017631590931</c:v>
                </c:pt>
                <c:pt idx="91">
                  <c:v>2.9905233198501722</c:v>
                </c:pt>
                <c:pt idx="92">
                  <c:v>3.0230290081094133</c:v>
                </c:pt>
                <c:pt idx="93">
                  <c:v>3.055534696368654</c:v>
                </c:pt>
                <c:pt idx="94">
                  <c:v>3.0880403846278952</c:v>
                </c:pt>
                <c:pt idx="95">
                  <c:v>3.1205460728871364</c:v>
                </c:pt>
                <c:pt idx="96">
                  <c:v>3.1530517611463771</c:v>
                </c:pt>
                <c:pt idx="97">
                  <c:v>3.1855574494056182</c:v>
                </c:pt>
                <c:pt idx="98">
                  <c:v>3.218063137664859</c:v>
                </c:pt>
                <c:pt idx="99">
                  <c:v>3.2505688259241001</c:v>
                </c:pt>
                <c:pt idx="100">
                  <c:v>3.2830745141833413</c:v>
                </c:pt>
                <c:pt idx="101">
                  <c:v>3.315580202442582</c:v>
                </c:pt>
                <c:pt idx="102">
                  <c:v>3.3480858907018232</c:v>
                </c:pt>
                <c:pt idx="103">
                  <c:v>3.3805915789610643</c:v>
                </c:pt>
                <c:pt idx="104">
                  <c:v>3.413097267220305</c:v>
                </c:pt>
                <c:pt idx="105">
                  <c:v>3.4456029554795462</c:v>
                </c:pt>
                <c:pt idx="106">
                  <c:v>3.4781086437387874</c:v>
                </c:pt>
                <c:pt idx="107">
                  <c:v>3.5106143319980281</c:v>
                </c:pt>
                <c:pt idx="108">
                  <c:v>3.5431200202572692</c:v>
                </c:pt>
                <c:pt idx="109">
                  <c:v>3.57562570851651</c:v>
                </c:pt>
                <c:pt idx="110">
                  <c:v>3.6081313967757511</c:v>
                </c:pt>
                <c:pt idx="111">
                  <c:v>3.6406370850349923</c:v>
                </c:pt>
                <c:pt idx="112">
                  <c:v>3.673142773294233</c:v>
                </c:pt>
                <c:pt idx="113">
                  <c:v>3.7056484615534742</c:v>
                </c:pt>
                <c:pt idx="114">
                  <c:v>3.7381541498127153</c:v>
                </c:pt>
                <c:pt idx="115">
                  <c:v>3.770659838071956</c:v>
                </c:pt>
                <c:pt idx="116">
                  <c:v>3.8031655263311972</c:v>
                </c:pt>
                <c:pt idx="117">
                  <c:v>3.8356712145904384</c:v>
                </c:pt>
                <c:pt idx="118">
                  <c:v>3.8681769028496791</c:v>
                </c:pt>
                <c:pt idx="119">
                  <c:v>3.9006825911089202</c:v>
                </c:pt>
                <c:pt idx="120">
                  <c:v>3.9331882793681614</c:v>
                </c:pt>
                <c:pt idx="121">
                  <c:v>3.9656939676274021</c:v>
                </c:pt>
                <c:pt idx="122">
                  <c:v>3.9981996558866433</c:v>
                </c:pt>
                <c:pt idx="123">
                  <c:v>4.0307053441458844</c:v>
                </c:pt>
                <c:pt idx="124">
                  <c:v>4.0632110324051256</c:v>
                </c:pt>
                <c:pt idx="125">
                  <c:v>4.0957167206643659</c:v>
                </c:pt>
                <c:pt idx="126">
                  <c:v>4.128222408923607</c:v>
                </c:pt>
                <c:pt idx="127">
                  <c:v>4.1607280971828482</c:v>
                </c:pt>
                <c:pt idx="128">
                  <c:v>4.1932337854420894</c:v>
                </c:pt>
                <c:pt idx="129">
                  <c:v>4.2257394737013305</c:v>
                </c:pt>
                <c:pt idx="130">
                  <c:v>4.2582451619605708</c:v>
                </c:pt>
                <c:pt idx="131">
                  <c:v>4.290750850219812</c:v>
                </c:pt>
                <c:pt idx="132">
                  <c:v>4.3232565384790531</c:v>
                </c:pt>
                <c:pt idx="133">
                  <c:v>4.3557622267382943</c:v>
                </c:pt>
                <c:pt idx="134">
                  <c:v>4.3882679149975354</c:v>
                </c:pt>
                <c:pt idx="135">
                  <c:v>4.4207736032567766</c:v>
                </c:pt>
                <c:pt idx="136">
                  <c:v>4.4532792915160169</c:v>
                </c:pt>
                <c:pt idx="137">
                  <c:v>4.485784979775258</c:v>
                </c:pt>
                <c:pt idx="138">
                  <c:v>4.5182906680344992</c:v>
                </c:pt>
                <c:pt idx="139">
                  <c:v>4.5507963562937404</c:v>
                </c:pt>
                <c:pt idx="140">
                  <c:v>4.5833020445529815</c:v>
                </c:pt>
                <c:pt idx="141">
                  <c:v>4.6158077328122218</c:v>
                </c:pt>
                <c:pt idx="142">
                  <c:v>4.6483134210714629</c:v>
                </c:pt>
                <c:pt idx="143">
                  <c:v>4.6808191093307041</c:v>
                </c:pt>
                <c:pt idx="144">
                  <c:v>4.7133247975899453</c:v>
                </c:pt>
                <c:pt idx="145">
                  <c:v>4.7458304858491864</c:v>
                </c:pt>
                <c:pt idx="146">
                  <c:v>4.7783361741084276</c:v>
                </c:pt>
                <c:pt idx="147">
                  <c:v>4.8108418623676679</c:v>
                </c:pt>
                <c:pt idx="148">
                  <c:v>4.843347550626909</c:v>
                </c:pt>
                <c:pt idx="149">
                  <c:v>4.8758532388861502</c:v>
                </c:pt>
                <c:pt idx="150">
                  <c:v>4.9083589271453913</c:v>
                </c:pt>
                <c:pt idx="151">
                  <c:v>4.9408646154046325</c:v>
                </c:pt>
                <c:pt idx="152">
                  <c:v>4.9733703036638737</c:v>
                </c:pt>
                <c:pt idx="153">
                  <c:v>5.0058759919231139</c:v>
                </c:pt>
                <c:pt idx="154">
                  <c:v>5.0383816801823551</c:v>
                </c:pt>
                <c:pt idx="155">
                  <c:v>5.0708873684415963</c:v>
                </c:pt>
                <c:pt idx="156">
                  <c:v>5.1033930567008374</c:v>
                </c:pt>
                <c:pt idx="157">
                  <c:v>5.1358987449600786</c:v>
                </c:pt>
                <c:pt idx="158">
                  <c:v>5.1684044332193189</c:v>
                </c:pt>
                <c:pt idx="159">
                  <c:v>5.20091012147856</c:v>
                </c:pt>
                <c:pt idx="160">
                  <c:v>5.2334158097378012</c:v>
                </c:pt>
                <c:pt idx="161">
                  <c:v>5.2659214979970423</c:v>
                </c:pt>
                <c:pt idx="162">
                  <c:v>5.2984271862562835</c:v>
                </c:pt>
                <c:pt idx="163">
                  <c:v>5.3309328745155247</c:v>
                </c:pt>
                <c:pt idx="164">
                  <c:v>5.3634385627747649</c:v>
                </c:pt>
                <c:pt idx="165">
                  <c:v>5.3959442510340061</c:v>
                </c:pt>
                <c:pt idx="166">
                  <c:v>5.4284499392932473</c:v>
                </c:pt>
                <c:pt idx="167">
                  <c:v>5.4609556275524884</c:v>
                </c:pt>
                <c:pt idx="168">
                  <c:v>5.4934613158117296</c:v>
                </c:pt>
                <c:pt idx="169">
                  <c:v>5.5259670040709699</c:v>
                </c:pt>
                <c:pt idx="170">
                  <c:v>5.558472692330211</c:v>
                </c:pt>
                <c:pt idx="171">
                  <c:v>5.5909783805894522</c:v>
                </c:pt>
                <c:pt idx="172">
                  <c:v>5.6234840688486933</c:v>
                </c:pt>
                <c:pt idx="173">
                  <c:v>5.6559897571079345</c:v>
                </c:pt>
                <c:pt idx="174">
                  <c:v>5.6884954453671757</c:v>
                </c:pt>
                <c:pt idx="175">
                  <c:v>5.7210011336264159</c:v>
                </c:pt>
                <c:pt idx="176">
                  <c:v>5.7535068218856571</c:v>
                </c:pt>
                <c:pt idx="177">
                  <c:v>5.7860125101448983</c:v>
                </c:pt>
                <c:pt idx="178">
                  <c:v>5.8185181984041394</c:v>
                </c:pt>
                <c:pt idx="179">
                  <c:v>5.8510238866633806</c:v>
                </c:pt>
                <c:pt idx="180">
                  <c:v>5.8835295749226209</c:v>
                </c:pt>
                <c:pt idx="181">
                  <c:v>5.916035263181862</c:v>
                </c:pt>
                <c:pt idx="182">
                  <c:v>5.9485409514411032</c:v>
                </c:pt>
                <c:pt idx="183">
                  <c:v>5.9810466397003443</c:v>
                </c:pt>
                <c:pt idx="184">
                  <c:v>6.0135523279595855</c:v>
                </c:pt>
                <c:pt idx="185">
                  <c:v>6.0460580162188267</c:v>
                </c:pt>
                <c:pt idx="186">
                  <c:v>6.0785637044780669</c:v>
                </c:pt>
                <c:pt idx="187">
                  <c:v>6.1110693927373081</c:v>
                </c:pt>
              </c:numCache>
            </c:numRef>
          </c:cat>
          <c:val>
            <c:numRef>
              <c:f>'NRCS - Gande'!$S$42:$S$229</c:f>
              <c:numCache>
                <c:formatCode>#,##0.00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2.8049132134588877E-3</c:v>
                </c:pt>
                <c:pt idx="25">
                  <c:v>5.6098264269177755E-3</c:v>
                </c:pt>
                <c:pt idx="26">
                  <c:v>8.4147396403766641E-3</c:v>
                </c:pt>
                <c:pt idx="27">
                  <c:v>1.1219652853835551E-2</c:v>
                </c:pt>
                <c:pt idx="28">
                  <c:v>1.4024566067294441E-2</c:v>
                </c:pt>
                <c:pt idx="29">
                  <c:v>1.6829479280753328E-2</c:v>
                </c:pt>
                <c:pt idx="30">
                  <c:v>1.9634392494212217E-2</c:v>
                </c:pt>
                <c:pt idx="31">
                  <c:v>2.2439305707671102E-2</c:v>
                </c:pt>
                <c:pt idx="32">
                  <c:v>0.10775232658913797</c:v>
                </c:pt>
                <c:pt idx="33">
                  <c:v>0.19306534747060483</c:v>
                </c:pt>
                <c:pt idx="34">
                  <c:v>0.27837836835207175</c:v>
                </c:pt>
                <c:pt idx="35">
                  <c:v>0.36369138923353855</c:v>
                </c:pt>
                <c:pt idx="36">
                  <c:v>0.44900441011500547</c:v>
                </c:pt>
                <c:pt idx="37">
                  <c:v>0.53431743099647233</c:v>
                </c:pt>
                <c:pt idx="38">
                  <c:v>0.61963045187793919</c:v>
                </c:pt>
                <c:pt idx="39">
                  <c:v>0.70494347275940605</c:v>
                </c:pt>
                <c:pt idx="40">
                  <c:v>1.1269090993864286</c:v>
                </c:pt>
                <c:pt idx="41">
                  <c:v>1.548874726013451</c:v>
                </c:pt>
                <c:pt idx="42">
                  <c:v>1.9708403526404732</c:v>
                </c:pt>
                <c:pt idx="43">
                  <c:v>2.3928059792674956</c:v>
                </c:pt>
                <c:pt idx="44">
                  <c:v>2.8147716058945185</c:v>
                </c:pt>
                <c:pt idx="45">
                  <c:v>3.2367372325215409</c:v>
                </c:pt>
                <c:pt idx="46">
                  <c:v>3.6587028591485633</c:v>
                </c:pt>
                <c:pt idx="47">
                  <c:v>4.0806684857755853</c:v>
                </c:pt>
                <c:pt idx="48">
                  <c:v>6.0050834916657596</c:v>
                </c:pt>
                <c:pt idx="49">
                  <c:v>7.9294984975559331</c:v>
                </c:pt>
                <c:pt idx="50">
                  <c:v>9.8539135034461047</c:v>
                </c:pt>
                <c:pt idx="51">
                  <c:v>11.77832850933628</c:v>
                </c:pt>
                <c:pt idx="52">
                  <c:v>13.702743515226453</c:v>
                </c:pt>
                <c:pt idx="53">
                  <c:v>15.627158521116627</c:v>
                </c:pt>
                <c:pt idx="54">
                  <c:v>17.551573527006802</c:v>
                </c:pt>
                <c:pt idx="55">
                  <c:v>19.475988532896974</c:v>
                </c:pt>
                <c:pt idx="56">
                  <c:v>21.968230697392514</c:v>
                </c:pt>
                <c:pt idx="57">
                  <c:v>24.46047286188805</c:v>
                </c:pt>
                <c:pt idx="58">
                  <c:v>26.952715026383586</c:v>
                </c:pt>
                <c:pt idx="59">
                  <c:v>29.44495719087913</c:v>
                </c:pt>
                <c:pt idx="60">
                  <c:v>31.937199355374666</c:v>
                </c:pt>
                <c:pt idx="61">
                  <c:v>34.42764771908459</c:v>
                </c:pt>
                <c:pt idx="62">
                  <c:v>36.915405381616097</c:v>
                </c:pt>
                <c:pt idx="63">
                  <c:v>39.403163044147611</c:v>
                </c:pt>
                <c:pt idx="64">
                  <c:v>42.317967235138731</c:v>
                </c:pt>
                <c:pt idx="65">
                  <c:v>45.232771426129858</c:v>
                </c:pt>
                <c:pt idx="66">
                  <c:v>48.147575617120971</c:v>
                </c:pt>
                <c:pt idx="67">
                  <c:v>51.062379808112105</c:v>
                </c:pt>
                <c:pt idx="68">
                  <c:v>53.977183999103225</c:v>
                </c:pt>
                <c:pt idx="69">
                  <c:v>56.83922252602882</c:v>
                </c:pt>
                <c:pt idx="70">
                  <c:v>59.622112556856131</c:v>
                </c:pt>
                <c:pt idx="71">
                  <c:v>62.40500258768342</c:v>
                </c:pt>
                <c:pt idx="72">
                  <c:v>65.546211000906638</c:v>
                </c:pt>
                <c:pt idx="73">
                  <c:v>68.687419414129849</c:v>
                </c:pt>
                <c:pt idx="74">
                  <c:v>71.828627827353046</c:v>
                </c:pt>
                <c:pt idx="75">
                  <c:v>74.969836240576271</c:v>
                </c:pt>
                <c:pt idx="76">
                  <c:v>78.111044653799482</c:v>
                </c:pt>
                <c:pt idx="77">
                  <c:v>81.036956670054863</c:v>
                </c:pt>
                <c:pt idx="78">
                  <c:v>83.639924090858543</c:v>
                </c:pt>
                <c:pt idx="79">
                  <c:v>86.242891511662208</c:v>
                </c:pt>
                <c:pt idx="80">
                  <c:v>89.161321326325904</c:v>
                </c:pt>
                <c:pt idx="81">
                  <c:v>92.0797511409896</c:v>
                </c:pt>
                <c:pt idx="82">
                  <c:v>94.998180955653297</c:v>
                </c:pt>
                <c:pt idx="83">
                  <c:v>97.916610770317007</c:v>
                </c:pt>
                <c:pt idx="84">
                  <c:v>100.83504058498069</c:v>
                </c:pt>
                <c:pt idx="85">
                  <c:v>102.79262253314555</c:v>
                </c:pt>
                <c:pt idx="86">
                  <c:v>103.30893268156217</c:v>
                </c:pt>
                <c:pt idx="87">
                  <c:v>103.82524282997879</c:v>
                </c:pt>
                <c:pt idx="88">
                  <c:v>104.62693887724299</c:v>
                </c:pt>
                <c:pt idx="89">
                  <c:v>105.42863492450719</c:v>
                </c:pt>
                <c:pt idx="90">
                  <c:v>106.23033097177141</c:v>
                </c:pt>
                <c:pt idx="91">
                  <c:v>107.03202701903562</c:v>
                </c:pt>
                <c:pt idx="92">
                  <c:v>107.83372306629983</c:v>
                </c:pt>
                <c:pt idx="93">
                  <c:v>108.27228174506668</c:v>
                </c:pt>
                <c:pt idx="94">
                  <c:v>108.16613437108759</c:v>
                </c:pt>
                <c:pt idx="95">
                  <c:v>108.0599869971085</c:v>
                </c:pt>
                <c:pt idx="96">
                  <c:v>107.9538396231294</c:v>
                </c:pt>
                <c:pt idx="97">
                  <c:v>107.8476922491503</c:v>
                </c:pt>
                <c:pt idx="98">
                  <c:v>107.74154487517119</c:v>
                </c:pt>
                <c:pt idx="99">
                  <c:v>107.63539750119209</c:v>
                </c:pt>
                <c:pt idx="100">
                  <c:v>107.52925012721299</c:v>
                </c:pt>
                <c:pt idx="101">
                  <c:v>107.14999754820701</c:v>
                </c:pt>
                <c:pt idx="102">
                  <c:v>106.36108716166073</c:v>
                </c:pt>
                <c:pt idx="103">
                  <c:v>105.57217677511446</c:v>
                </c:pt>
                <c:pt idx="104">
                  <c:v>104.78326638856818</c:v>
                </c:pt>
                <c:pt idx="105">
                  <c:v>103.99435600202192</c:v>
                </c:pt>
                <c:pt idx="106">
                  <c:v>103.20544561547564</c:v>
                </c:pt>
                <c:pt idx="107">
                  <c:v>102.41653522892936</c:v>
                </c:pt>
                <c:pt idx="108">
                  <c:v>101.62762484238307</c:v>
                </c:pt>
                <c:pt idx="109">
                  <c:v>100.60956234062792</c:v>
                </c:pt>
                <c:pt idx="110">
                  <c:v>99.247771666059464</c:v>
                </c:pt>
                <c:pt idx="111">
                  <c:v>97.885980991490982</c:v>
                </c:pt>
                <c:pt idx="112">
                  <c:v>96.5241903169225</c:v>
                </c:pt>
                <c:pt idx="113">
                  <c:v>95.162399642354032</c:v>
                </c:pt>
                <c:pt idx="114">
                  <c:v>93.800608967785564</c:v>
                </c:pt>
                <c:pt idx="115">
                  <c:v>92.438818293217082</c:v>
                </c:pt>
                <c:pt idx="116">
                  <c:v>91.077027618648614</c:v>
                </c:pt>
                <c:pt idx="117">
                  <c:v>89.513492131719346</c:v>
                </c:pt>
                <c:pt idx="118">
                  <c:v>87.647339426248919</c:v>
                </c:pt>
                <c:pt idx="119">
                  <c:v>85.781186720778479</c:v>
                </c:pt>
                <c:pt idx="120">
                  <c:v>83.915034015308038</c:v>
                </c:pt>
                <c:pt idx="121">
                  <c:v>82.048881309837626</c:v>
                </c:pt>
                <c:pt idx="122">
                  <c:v>80.182728604367171</c:v>
                </c:pt>
                <c:pt idx="123">
                  <c:v>78.31657589889673</c:v>
                </c:pt>
                <c:pt idx="124">
                  <c:v>76.451444383386672</c:v>
                </c:pt>
                <c:pt idx="125">
                  <c:v>74.404461003212162</c:v>
                </c:pt>
                <c:pt idx="126">
                  <c:v>72.083712227855742</c:v>
                </c:pt>
                <c:pt idx="127">
                  <c:v>69.762963452499335</c:v>
                </c:pt>
                <c:pt idx="128">
                  <c:v>67.442214677142914</c:v>
                </c:pt>
                <c:pt idx="129">
                  <c:v>65.121465901786493</c:v>
                </c:pt>
                <c:pt idx="130">
                  <c:v>62.800717126430087</c:v>
                </c:pt>
                <c:pt idx="131">
                  <c:v>60.479968351073659</c:v>
                </c:pt>
                <c:pt idx="132">
                  <c:v>58.1892584556347</c:v>
                </c:pt>
                <c:pt idx="133">
                  <c:v>55.917915732774091</c:v>
                </c:pt>
                <c:pt idx="134">
                  <c:v>53.646573009913489</c:v>
                </c:pt>
                <c:pt idx="135">
                  <c:v>51.375230287052887</c:v>
                </c:pt>
                <c:pt idx="136">
                  <c:v>49.103887564192277</c:v>
                </c:pt>
                <c:pt idx="137">
                  <c:v>46.832544841331668</c:v>
                </c:pt>
                <c:pt idx="138">
                  <c:v>44.56120211847108</c:v>
                </c:pt>
                <c:pt idx="139">
                  <c:v>42.289859395610463</c:v>
                </c:pt>
                <c:pt idx="140">
                  <c:v>40.141082411847641</c:v>
                </c:pt>
                <c:pt idx="141">
                  <c:v>38.071328075661029</c:v>
                </c:pt>
                <c:pt idx="142">
                  <c:v>36.001573739474409</c:v>
                </c:pt>
                <c:pt idx="143">
                  <c:v>33.93181940328779</c:v>
                </c:pt>
                <c:pt idx="144">
                  <c:v>31.862065067101163</c:v>
                </c:pt>
                <c:pt idx="145">
                  <c:v>29.79231073091454</c:v>
                </c:pt>
                <c:pt idx="146">
                  <c:v>27.722556394727931</c:v>
                </c:pt>
                <c:pt idx="147">
                  <c:v>25.652802058541301</c:v>
                </c:pt>
                <c:pt idx="148">
                  <c:v>24.130047256840939</c:v>
                </c:pt>
                <c:pt idx="149">
                  <c:v>22.959963207638239</c:v>
                </c:pt>
                <c:pt idx="150">
                  <c:v>21.789879158435546</c:v>
                </c:pt>
                <c:pt idx="151">
                  <c:v>20.619795109232847</c:v>
                </c:pt>
                <c:pt idx="152">
                  <c:v>19.449711060030147</c:v>
                </c:pt>
                <c:pt idx="153">
                  <c:v>18.279627010827454</c:v>
                </c:pt>
                <c:pt idx="154">
                  <c:v>17.109542961624761</c:v>
                </c:pt>
                <c:pt idx="155">
                  <c:v>15.939458912422058</c:v>
                </c:pt>
                <c:pt idx="156">
                  <c:v>14.976104750903245</c:v>
                </c:pt>
                <c:pt idx="157">
                  <c:v>14.14603696433849</c:v>
                </c:pt>
                <c:pt idx="158">
                  <c:v>13.315969177773736</c:v>
                </c:pt>
                <c:pt idx="159">
                  <c:v>12.485901391208984</c:v>
                </c:pt>
                <c:pt idx="160">
                  <c:v>11.655833604644227</c:v>
                </c:pt>
                <c:pt idx="161">
                  <c:v>10.825765818079475</c:v>
                </c:pt>
                <c:pt idx="162">
                  <c:v>9.9956980315147241</c:v>
                </c:pt>
                <c:pt idx="163">
                  <c:v>9.1656302449499663</c:v>
                </c:pt>
                <c:pt idx="164">
                  <c:v>8.4910380807226176</c:v>
                </c:pt>
                <c:pt idx="165">
                  <c:v>7.9166867782654204</c:v>
                </c:pt>
                <c:pt idx="166">
                  <c:v>7.3423354758082215</c:v>
                </c:pt>
                <c:pt idx="167">
                  <c:v>6.7679841733510262</c:v>
                </c:pt>
                <c:pt idx="168">
                  <c:v>6.1936328708938273</c:v>
                </c:pt>
                <c:pt idx="169">
                  <c:v>5.6192815684366284</c:v>
                </c:pt>
                <c:pt idx="170">
                  <c:v>5.0449302659794366</c:v>
                </c:pt>
                <c:pt idx="171">
                  <c:v>4.4705789635222342</c:v>
                </c:pt>
                <c:pt idx="172">
                  <c:v>4.026681299685829</c:v>
                </c:pt>
                <c:pt idx="173">
                  <c:v>3.6668919028549247</c:v>
                </c:pt>
                <c:pt idx="174">
                  <c:v>3.3071025060240178</c:v>
                </c:pt>
                <c:pt idx="175">
                  <c:v>2.9473131091931135</c:v>
                </c:pt>
                <c:pt idx="176">
                  <c:v>2.5875237123622066</c:v>
                </c:pt>
                <c:pt idx="177">
                  <c:v>2.2277343155312996</c:v>
                </c:pt>
                <c:pt idx="178">
                  <c:v>1.8679449187003971</c:v>
                </c:pt>
                <c:pt idx="179">
                  <c:v>1.5081555218694904</c:v>
                </c:pt>
                <c:pt idx="180">
                  <c:v>1.2632171043600842</c:v>
                </c:pt>
                <c:pt idx="181">
                  <c:v>1.0923273445711128</c:v>
                </c:pt>
                <c:pt idx="182">
                  <c:v>0.921437584782139</c:v>
                </c:pt>
                <c:pt idx="183">
                  <c:v>0.75054782499316541</c:v>
                </c:pt>
                <c:pt idx="184">
                  <c:v>0.57965806520419172</c:v>
                </c:pt>
                <c:pt idx="185">
                  <c:v>0.40876830541521803</c:v>
                </c:pt>
                <c:pt idx="186">
                  <c:v>0.23787854562624658</c:v>
                </c:pt>
                <c:pt idx="187">
                  <c:v>6.6988785837272899E-2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5-4DE5-9CDD-B1E980D02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246954"/>
        <c:axId val="637599237"/>
      </c:lineChart>
      <c:catAx>
        <c:axId val="895246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(hs)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637599237"/>
        <c:crosses val="autoZero"/>
        <c:auto val="1"/>
        <c:lblAlgn val="ctr"/>
        <c:lblOffset val="100"/>
        <c:noMultiLvlLbl val="1"/>
      </c:catAx>
      <c:valAx>
        <c:axId val="637599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Caudal m^3/s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8952469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Tormenta de Diseño - P efectiva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Tormenta de Diseño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'NRCS - Gande'!$O$21</c:f>
              <c:numCache>
                <c:formatCode>General</c:formatCode>
                <c:ptCount val="1"/>
              </c:numCache>
            </c:numRef>
          </c:cat>
          <c:val>
            <c:numRef>
              <c:f>'NRCS - Gande'!$N$6:$N$17</c:f>
              <c:numCache>
                <c:formatCode>0.000</c:formatCode>
                <c:ptCount val="12"/>
                <c:pt idx="0">
                  <c:v>3.120353492313086</c:v>
                </c:pt>
                <c:pt idx="1">
                  <c:v>3.5734461332670833</c:v>
                </c:pt>
                <c:pt idx="2">
                  <c:v>4.0876215505998204</c:v>
                </c:pt>
                <c:pt idx="3">
                  <c:v>4.8790093541758779</c:v>
                </c:pt>
                <c:pt idx="4">
                  <c:v>6.3269303124827445</c:v>
                </c:pt>
                <c:pt idx="5">
                  <c:v>10.463647304297151</c:v>
                </c:pt>
                <c:pt idx="6">
                  <c:v>25.788318060808532</c:v>
                </c:pt>
                <c:pt idx="7">
                  <c:v>7.697778720238901</c:v>
                </c:pt>
                <c:pt idx="8">
                  <c:v>5.4737098040950016</c:v>
                </c:pt>
                <c:pt idx="9">
                  <c:v>4.4349647888841872</c:v>
                </c:pt>
                <c:pt idx="10">
                  <c:v>3.806628469465366</c:v>
                </c:pt>
                <c:pt idx="11">
                  <c:v>3.3760345885324199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56-4B58-B439-AA2E7BA34622}"/>
            </c:ext>
          </c:extLst>
        </c:ser>
        <c:ser>
          <c:idx val="1"/>
          <c:order val="1"/>
          <c:tx>
            <c:v>P efectiva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'NRCS - Gande'!$O$21</c:f>
              <c:numCache>
                <c:formatCode>General</c:formatCode>
                <c:ptCount val="1"/>
              </c:numCache>
            </c:numRef>
          </c:cat>
          <c:val>
            <c:numRef>
              <c:f>'NRCS - Gande'!$S$6:$S$17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2.4321576697817093E-2</c:v>
                </c:pt>
                <c:pt idx="4">
                  <c:v>0.71543292648424028</c:v>
                </c:pt>
                <c:pt idx="5">
                  <c:v>2.9191356552039434</c:v>
                </c:pt>
                <c:pt idx="6">
                  <c:v>13.027831890482844</c:v>
                </c:pt>
                <c:pt idx="7">
                  <c:v>4.9236645621892663</c:v>
                </c:pt>
                <c:pt idx="8">
                  <c:v>3.7029469737707359</c:v>
                </c:pt>
                <c:pt idx="9">
                  <c:v>3.1070009502836058</c:v>
                </c:pt>
                <c:pt idx="10">
                  <c:v>2.7353940117392135</c:v>
                </c:pt>
                <c:pt idx="11">
                  <c:v>2.4745988553198934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A56-4B58-B439-AA2E7BA3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9910012"/>
        <c:axId val="399381463"/>
      </c:barChart>
      <c:catAx>
        <c:axId val="1349910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399381463"/>
        <c:crosses val="autoZero"/>
        <c:auto val="1"/>
        <c:lblAlgn val="ctr"/>
        <c:lblOffset val="100"/>
        <c:noMultiLvlLbl val="1"/>
      </c:catAx>
      <c:valAx>
        <c:axId val="399381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Precipitación (mm)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3499100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 black"/>
              </a:defRPr>
            </a:pPr>
            <a:r>
              <a:rPr b="0">
                <a:solidFill>
                  <a:schemeClr val="dk1"/>
                </a:solidFill>
                <a:latin typeface="Arial black"/>
              </a:rPr>
              <a:t>Tormenta de Diseño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'NRCS - Chica'!$H$19</c:f>
              <c:numCache>
                <c:formatCode>General</c:formatCode>
                <c:ptCount val="1"/>
              </c:numCache>
            </c:numRef>
          </c:cat>
          <c:val>
            <c:numRef>
              <c:f>'NRCS - Chica'!$N$6:$N$17</c:f>
              <c:numCache>
                <c:formatCode>0.000</c:formatCode>
                <c:ptCount val="12"/>
                <c:pt idx="0">
                  <c:v>2.2302662917836287</c:v>
                </c:pt>
                <c:pt idx="1">
                  <c:v>2.4895452170327204</c:v>
                </c:pt>
                <c:pt idx="2">
                  <c:v>2.8542947786885193</c:v>
                </c:pt>
                <c:pt idx="3">
                  <c:v>3.4198839179972751</c:v>
                </c:pt>
                <c:pt idx="4">
                  <c:v>4.4684172777617022</c:v>
                </c:pt>
                <c:pt idx="5">
                  <c:v>7.5547295103044902</c:v>
                </c:pt>
                <c:pt idx="6">
                  <c:v>18.072921917420786</c:v>
                </c:pt>
                <c:pt idx="7">
                  <c:v>5.4774259371499951</c:v>
                </c:pt>
                <c:pt idx="8">
                  <c:v>3.8483736573972038</c:v>
                </c:pt>
                <c:pt idx="9">
                  <c:v>3.1018954250570374</c:v>
                </c:pt>
                <c:pt idx="10">
                  <c:v>2.6547041380191416</c:v>
                </c:pt>
                <c:pt idx="11">
                  <c:v>2.3500477929329122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23-4022-80E7-E608ECCF3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8636668"/>
        <c:axId val="1564002086"/>
      </c:barChart>
      <c:catAx>
        <c:axId val="2088636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564002086"/>
        <c:crosses val="autoZero"/>
        <c:auto val="1"/>
        <c:lblAlgn val="ctr"/>
        <c:lblOffset val="100"/>
        <c:noMultiLvlLbl val="1"/>
      </c:catAx>
      <c:valAx>
        <c:axId val="1564002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Precipitación (mm/h)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0886366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Caudal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'NRCS - Chica'!$S$41</c:f>
              <c:strCache>
                <c:ptCount val="1"/>
                <c:pt idx="0">
                  <c:v>0.00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'NRCS - Chica'!$E$42:$E$229</c:f>
              <c:numCache>
                <c:formatCode>#,##0.00</c:formatCode>
                <c:ptCount val="188"/>
                <c:pt idx="0">
                  <c:v>9.8117839754813477E-3</c:v>
                </c:pt>
                <c:pt idx="1">
                  <c:v>1.9623567950962695E-2</c:v>
                </c:pt>
                <c:pt idx="2">
                  <c:v>2.9435351926444045E-2</c:v>
                </c:pt>
                <c:pt idx="3">
                  <c:v>3.9247135901925391E-2</c:v>
                </c:pt>
                <c:pt idx="4">
                  <c:v>4.9058919877406737E-2</c:v>
                </c:pt>
                <c:pt idx="5">
                  <c:v>5.887070385288809E-2</c:v>
                </c:pt>
                <c:pt idx="6">
                  <c:v>6.8682487828369429E-2</c:v>
                </c:pt>
                <c:pt idx="7">
                  <c:v>7.8494271803850782E-2</c:v>
                </c:pt>
                <c:pt idx="8">
                  <c:v>8.8306055779332135E-2</c:v>
                </c:pt>
                <c:pt idx="9">
                  <c:v>9.8117839754813474E-2</c:v>
                </c:pt>
                <c:pt idx="10">
                  <c:v>0.10792962373029483</c:v>
                </c:pt>
                <c:pt idx="11">
                  <c:v>0.11774140770577618</c:v>
                </c:pt>
                <c:pt idx="12">
                  <c:v>0.12755319168125753</c:v>
                </c:pt>
                <c:pt idx="13">
                  <c:v>0.13736497565673886</c:v>
                </c:pt>
                <c:pt idx="14">
                  <c:v>0.14717675963222021</c:v>
                </c:pt>
                <c:pt idx="15">
                  <c:v>0.15698854360770156</c:v>
                </c:pt>
                <c:pt idx="16">
                  <c:v>0.16680032758318292</c:v>
                </c:pt>
                <c:pt idx="17">
                  <c:v>0.17661211155866427</c:v>
                </c:pt>
                <c:pt idx="18">
                  <c:v>0.18642389553414559</c:v>
                </c:pt>
                <c:pt idx="19">
                  <c:v>0.19623567950962695</c:v>
                </c:pt>
                <c:pt idx="20">
                  <c:v>0.2060474634851083</c:v>
                </c:pt>
                <c:pt idx="21">
                  <c:v>0.21585924746058965</c:v>
                </c:pt>
                <c:pt idx="22">
                  <c:v>0.22567103143607101</c:v>
                </c:pt>
                <c:pt idx="23">
                  <c:v>0.23548281541155236</c:v>
                </c:pt>
                <c:pt idx="24">
                  <c:v>0.24529459938703368</c:v>
                </c:pt>
                <c:pt idx="25">
                  <c:v>0.25510638336251507</c:v>
                </c:pt>
                <c:pt idx="26">
                  <c:v>0.26491816733799639</c:v>
                </c:pt>
                <c:pt idx="27">
                  <c:v>0.27472995131347772</c:v>
                </c:pt>
                <c:pt idx="28">
                  <c:v>0.2845417352889591</c:v>
                </c:pt>
                <c:pt idx="29">
                  <c:v>0.29435351926444042</c:v>
                </c:pt>
                <c:pt idx="30">
                  <c:v>0.3041653032399218</c:v>
                </c:pt>
                <c:pt idx="31">
                  <c:v>0.31397708721540313</c:v>
                </c:pt>
                <c:pt idx="32">
                  <c:v>0.32378887119088445</c:v>
                </c:pt>
                <c:pt idx="33">
                  <c:v>0.33360065516636583</c:v>
                </c:pt>
                <c:pt idx="34">
                  <c:v>0.34341243914184716</c:v>
                </c:pt>
                <c:pt idx="35">
                  <c:v>0.35322422311732854</c:v>
                </c:pt>
                <c:pt idx="36">
                  <c:v>0.36303600709280986</c:v>
                </c:pt>
                <c:pt idx="37">
                  <c:v>0.37284779106829119</c:v>
                </c:pt>
                <c:pt idx="38">
                  <c:v>0.38265957504377257</c:v>
                </c:pt>
                <c:pt idx="39">
                  <c:v>0.3924713590192539</c:v>
                </c:pt>
                <c:pt idx="40">
                  <c:v>0.40228314299473528</c:v>
                </c:pt>
                <c:pt idx="41">
                  <c:v>0.4120949269702166</c:v>
                </c:pt>
                <c:pt idx="42">
                  <c:v>0.42190671094569793</c:v>
                </c:pt>
                <c:pt idx="43">
                  <c:v>0.43171849492117931</c:v>
                </c:pt>
                <c:pt idx="44">
                  <c:v>0.44153027889666063</c:v>
                </c:pt>
                <c:pt idx="45">
                  <c:v>0.45134206287214201</c:v>
                </c:pt>
                <c:pt idx="46">
                  <c:v>0.46115384684762334</c:v>
                </c:pt>
                <c:pt idx="47">
                  <c:v>0.47096563082310472</c:v>
                </c:pt>
                <c:pt idx="48">
                  <c:v>0.48077741479858604</c:v>
                </c:pt>
                <c:pt idx="49">
                  <c:v>0.49058919877406737</c:v>
                </c:pt>
                <c:pt idx="50">
                  <c:v>0.5004009827495487</c:v>
                </c:pt>
                <c:pt idx="51">
                  <c:v>0.51021276672503013</c:v>
                </c:pt>
                <c:pt idx="52">
                  <c:v>0.52002455070051146</c:v>
                </c:pt>
                <c:pt idx="53">
                  <c:v>0.52983633467599278</c:v>
                </c:pt>
                <c:pt idx="54">
                  <c:v>0.53964811865147411</c:v>
                </c:pt>
                <c:pt idx="55">
                  <c:v>0.54945990262695543</c:v>
                </c:pt>
                <c:pt idx="56">
                  <c:v>0.55927168660243687</c:v>
                </c:pt>
                <c:pt idx="57">
                  <c:v>0.56908347057791819</c:v>
                </c:pt>
                <c:pt idx="58">
                  <c:v>0.57889525455339952</c:v>
                </c:pt>
                <c:pt idx="59">
                  <c:v>0.58870703852888084</c:v>
                </c:pt>
                <c:pt idx="60">
                  <c:v>0.59851882250436217</c:v>
                </c:pt>
                <c:pt idx="61">
                  <c:v>0.60833060647984361</c:v>
                </c:pt>
                <c:pt idx="62">
                  <c:v>0.61814239045532493</c:v>
                </c:pt>
                <c:pt idx="63">
                  <c:v>0.62795417443080626</c:v>
                </c:pt>
                <c:pt idx="64">
                  <c:v>0.63776595840628758</c:v>
                </c:pt>
                <c:pt idx="65">
                  <c:v>0.64757774238176891</c:v>
                </c:pt>
                <c:pt idx="66">
                  <c:v>0.65738952635725034</c:v>
                </c:pt>
                <c:pt idx="67">
                  <c:v>0.66720131033273167</c:v>
                </c:pt>
                <c:pt idx="68">
                  <c:v>0.67701309430821299</c:v>
                </c:pt>
                <c:pt idx="69">
                  <c:v>0.68682487828369432</c:v>
                </c:pt>
                <c:pt idx="70">
                  <c:v>0.69663666225917564</c:v>
                </c:pt>
                <c:pt idx="71">
                  <c:v>0.70644844623465708</c:v>
                </c:pt>
                <c:pt idx="72">
                  <c:v>0.7162602302101384</c:v>
                </c:pt>
                <c:pt idx="73">
                  <c:v>0.72607201418561973</c:v>
                </c:pt>
                <c:pt idx="74">
                  <c:v>0.73588379816110105</c:v>
                </c:pt>
                <c:pt idx="75">
                  <c:v>0.74569558213658238</c:v>
                </c:pt>
                <c:pt idx="76">
                  <c:v>0.75550736611206382</c:v>
                </c:pt>
                <c:pt idx="77">
                  <c:v>0.76531915008754514</c:v>
                </c:pt>
                <c:pt idx="78">
                  <c:v>0.77513093406302647</c:v>
                </c:pt>
                <c:pt idx="79">
                  <c:v>0.78494271803850779</c:v>
                </c:pt>
                <c:pt idx="80">
                  <c:v>0.79475450201398912</c:v>
                </c:pt>
                <c:pt idx="81">
                  <c:v>0.80456628598947055</c:v>
                </c:pt>
                <c:pt idx="82">
                  <c:v>0.81437806996495188</c:v>
                </c:pt>
                <c:pt idx="83">
                  <c:v>0.8241898539404332</c:v>
                </c:pt>
                <c:pt idx="84">
                  <c:v>0.83400163791591453</c:v>
                </c:pt>
                <c:pt idx="85">
                  <c:v>0.84381342189139585</c:v>
                </c:pt>
                <c:pt idx="86">
                  <c:v>0.85362520586687729</c:v>
                </c:pt>
                <c:pt idx="87">
                  <c:v>0.86343698984235862</c:v>
                </c:pt>
                <c:pt idx="88">
                  <c:v>0.87324877381783994</c:v>
                </c:pt>
                <c:pt idx="89">
                  <c:v>0.88306055779332127</c:v>
                </c:pt>
                <c:pt idx="90">
                  <c:v>0.89287234176880259</c:v>
                </c:pt>
                <c:pt idx="91">
                  <c:v>0.90268412574428403</c:v>
                </c:pt>
                <c:pt idx="92">
                  <c:v>0.91249590971976535</c:v>
                </c:pt>
                <c:pt idx="93">
                  <c:v>0.92230769369524668</c:v>
                </c:pt>
                <c:pt idx="94">
                  <c:v>0.932119477670728</c:v>
                </c:pt>
                <c:pt idx="95">
                  <c:v>0.94193126164620944</c:v>
                </c:pt>
                <c:pt idx="96">
                  <c:v>0.95174304562169076</c:v>
                </c:pt>
                <c:pt idx="97">
                  <c:v>0.96155482959717209</c:v>
                </c:pt>
                <c:pt idx="98">
                  <c:v>0.97136661357265341</c:v>
                </c:pt>
                <c:pt idx="99">
                  <c:v>0.98117839754813474</c:v>
                </c:pt>
                <c:pt idx="100">
                  <c:v>0.99099018152361618</c:v>
                </c:pt>
                <c:pt idx="101">
                  <c:v>1.0008019654990974</c:v>
                </c:pt>
                <c:pt idx="102">
                  <c:v>1.0106137494745788</c:v>
                </c:pt>
                <c:pt idx="103">
                  <c:v>1.0204255334500603</c:v>
                </c:pt>
                <c:pt idx="104">
                  <c:v>1.0302373174255415</c:v>
                </c:pt>
                <c:pt idx="105">
                  <c:v>1.0400491014010229</c:v>
                </c:pt>
                <c:pt idx="106">
                  <c:v>1.0498608853765041</c:v>
                </c:pt>
                <c:pt idx="107">
                  <c:v>1.0596726693519856</c:v>
                </c:pt>
                <c:pt idx="108">
                  <c:v>1.069484453327467</c:v>
                </c:pt>
                <c:pt idx="109">
                  <c:v>1.0792962373029482</c:v>
                </c:pt>
                <c:pt idx="110">
                  <c:v>1.0891080212784296</c:v>
                </c:pt>
                <c:pt idx="111">
                  <c:v>1.0989198052539109</c:v>
                </c:pt>
                <c:pt idx="112">
                  <c:v>1.1087315892293923</c:v>
                </c:pt>
                <c:pt idx="113">
                  <c:v>1.1185433732048737</c:v>
                </c:pt>
                <c:pt idx="114">
                  <c:v>1.128355157180355</c:v>
                </c:pt>
                <c:pt idx="115">
                  <c:v>1.1381669411558364</c:v>
                </c:pt>
                <c:pt idx="116">
                  <c:v>1.1479787251313176</c:v>
                </c:pt>
                <c:pt idx="117">
                  <c:v>1.157790509106799</c:v>
                </c:pt>
                <c:pt idx="118">
                  <c:v>1.1676022930822805</c:v>
                </c:pt>
                <c:pt idx="119">
                  <c:v>1.1774140770577617</c:v>
                </c:pt>
                <c:pt idx="120">
                  <c:v>1.1872258610332431</c:v>
                </c:pt>
                <c:pt idx="121">
                  <c:v>1.1970376450087243</c:v>
                </c:pt>
                <c:pt idx="122">
                  <c:v>1.2068494289842058</c:v>
                </c:pt>
                <c:pt idx="123">
                  <c:v>1.2166612129596872</c:v>
                </c:pt>
                <c:pt idx="124">
                  <c:v>1.2264729969351684</c:v>
                </c:pt>
                <c:pt idx="125">
                  <c:v>1.2362847809106499</c:v>
                </c:pt>
                <c:pt idx="126">
                  <c:v>1.2460965648861311</c:v>
                </c:pt>
                <c:pt idx="127">
                  <c:v>1.2559083488616125</c:v>
                </c:pt>
                <c:pt idx="128">
                  <c:v>1.2657201328370939</c:v>
                </c:pt>
                <c:pt idx="129">
                  <c:v>1.2755319168125752</c:v>
                </c:pt>
                <c:pt idx="130">
                  <c:v>1.2853437007880566</c:v>
                </c:pt>
                <c:pt idx="131">
                  <c:v>1.2951554847635378</c:v>
                </c:pt>
                <c:pt idx="132">
                  <c:v>1.3049672687390192</c:v>
                </c:pt>
                <c:pt idx="133">
                  <c:v>1.3147790527145007</c:v>
                </c:pt>
                <c:pt idx="134">
                  <c:v>1.3245908366899819</c:v>
                </c:pt>
                <c:pt idx="135">
                  <c:v>1.3344026206654633</c:v>
                </c:pt>
                <c:pt idx="136">
                  <c:v>1.3442144046409445</c:v>
                </c:pt>
                <c:pt idx="137">
                  <c:v>1.354026188616426</c:v>
                </c:pt>
                <c:pt idx="138">
                  <c:v>1.3638379725919074</c:v>
                </c:pt>
                <c:pt idx="139">
                  <c:v>1.3736497565673886</c:v>
                </c:pt>
                <c:pt idx="140">
                  <c:v>1.3834615405428701</c:v>
                </c:pt>
                <c:pt idx="141">
                  <c:v>1.3932733245183513</c:v>
                </c:pt>
                <c:pt idx="142">
                  <c:v>1.4030851084938327</c:v>
                </c:pt>
                <c:pt idx="143">
                  <c:v>1.4128968924693142</c:v>
                </c:pt>
                <c:pt idx="144">
                  <c:v>1.4227086764447954</c:v>
                </c:pt>
                <c:pt idx="145">
                  <c:v>1.4325204604202768</c:v>
                </c:pt>
                <c:pt idx="146">
                  <c:v>1.442332244395758</c:v>
                </c:pt>
                <c:pt idx="147">
                  <c:v>1.4521440283712395</c:v>
                </c:pt>
                <c:pt idx="148">
                  <c:v>1.4619558123467209</c:v>
                </c:pt>
                <c:pt idx="149">
                  <c:v>1.4717675963222021</c:v>
                </c:pt>
                <c:pt idx="150">
                  <c:v>1.4815793802976835</c:v>
                </c:pt>
                <c:pt idx="151">
                  <c:v>1.4913911642731648</c:v>
                </c:pt>
                <c:pt idx="152">
                  <c:v>1.5012029482486462</c:v>
                </c:pt>
                <c:pt idx="153">
                  <c:v>1.5110147322241276</c:v>
                </c:pt>
                <c:pt idx="154">
                  <c:v>1.5208265161996088</c:v>
                </c:pt>
                <c:pt idx="155">
                  <c:v>1.5306383001750903</c:v>
                </c:pt>
                <c:pt idx="156">
                  <c:v>1.5404500841505715</c:v>
                </c:pt>
                <c:pt idx="157">
                  <c:v>1.5502618681260529</c:v>
                </c:pt>
                <c:pt idx="158">
                  <c:v>1.5600736521015344</c:v>
                </c:pt>
                <c:pt idx="159">
                  <c:v>1.5698854360770156</c:v>
                </c:pt>
                <c:pt idx="160">
                  <c:v>1.579697220052497</c:v>
                </c:pt>
                <c:pt idx="161">
                  <c:v>1.5895090040279782</c:v>
                </c:pt>
                <c:pt idx="162">
                  <c:v>1.5993207880034597</c:v>
                </c:pt>
                <c:pt idx="163">
                  <c:v>1.6091325719789411</c:v>
                </c:pt>
                <c:pt idx="164">
                  <c:v>1.6189443559544223</c:v>
                </c:pt>
                <c:pt idx="165">
                  <c:v>1.6287561399299038</c:v>
                </c:pt>
                <c:pt idx="166">
                  <c:v>1.638567923905385</c:v>
                </c:pt>
                <c:pt idx="167">
                  <c:v>1.6483797078808664</c:v>
                </c:pt>
                <c:pt idx="168">
                  <c:v>1.6581914918563478</c:v>
                </c:pt>
                <c:pt idx="169">
                  <c:v>1.6680032758318291</c:v>
                </c:pt>
                <c:pt idx="170">
                  <c:v>1.6778150598073105</c:v>
                </c:pt>
                <c:pt idx="171">
                  <c:v>1.6876268437827917</c:v>
                </c:pt>
                <c:pt idx="172">
                  <c:v>1.6974386277582731</c:v>
                </c:pt>
                <c:pt idx="173">
                  <c:v>1.7072504117337546</c:v>
                </c:pt>
                <c:pt idx="174">
                  <c:v>1.7170621957092358</c:v>
                </c:pt>
                <c:pt idx="175">
                  <c:v>1.7268739796847172</c:v>
                </c:pt>
                <c:pt idx="176">
                  <c:v>1.7366857636601984</c:v>
                </c:pt>
                <c:pt idx="177">
                  <c:v>1.7464975476356799</c:v>
                </c:pt>
                <c:pt idx="178">
                  <c:v>1.7563093316111613</c:v>
                </c:pt>
                <c:pt idx="179">
                  <c:v>1.7661211155866425</c:v>
                </c:pt>
                <c:pt idx="180">
                  <c:v>1.775932899562124</c:v>
                </c:pt>
                <c:pt idx="181">
                  <c:v>1.7857446835376052</c:v>
                </c:pt>
                <c:pt idx="182">
                  <c:v>1.7955564675130866</c:v>
                </c:pt>
                <c:pt idx="183">
                  <c:v>1.8053682514885681</c:v>
                </c:pt>
                <c:pt idx="184">
                  <c:v>1.8151800354640493</c:v>
                </c:pt>
                <c:pt idx="185">
                  <c:v>1.8249918194395307</c:v>
                </c:pt>
                <c:pt idx="186">
                  <c:v>1.8348036034150119</c:v>
                </c:pt>
                <c:pt idx="187">
                  <c:v>1.8446153873904934</c:v>
                </c:pt>
              </c:numCache>
            </c:numRef>
          </c:cat>
          <c:val>
            <c:numRef>
              <c:f>'NRCS - Chica'!$S$42:$S$229</c:f>
              <c:numCache>
                <c:formatCode>#,##0.00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5.804720282681727E-4</c:v>
                </c:pt>
                <c:pt idx="33">
                  <c:v>1.1609440565363454E-3</c:v>
                </c:pt>
                <c:pt idx="34">
                  <c:v>1.7414160848045182E-3</c:v>
                </c:pt>
                <c:pt idx="35">
                  <c:v>2.3218881130726908E-3</c:v>
                </c:pt>
                <c:pt idx="36">
                  <c:v>2.9023601413408636E-3</c:v>
                </c:pt>
                <c:pt idx="37">
                  <c:v>3.4828321696090364E-3</c:v>
                </c:pt>
                <c:pt idx="38">
                  <c:v>4.0633041978772088E-3</c:v>
                </c:pt>
                <c:pt idx="39">
                  <c:v>4.6437762261453816E-3</c:v>
                </c:pt>
                <c:pt idx="40">
                  <c:v>3.5506839433195755E-2</c:v>
                </c:pt>
                <c:pt idx="41">
                  <c:v>6.6369902640246128E-2</c:v>
                </c:pt>
                <c:pt idx="42">
                  <c:v>9.7232965847296501E-2</c:v>
                </c:pt>
                <c:pt idx="43">
                  <c:v>0.12809602905434686</c:v>
                </c:pt>
                <c:pt idx="44">
                  <c:v>0.15895909226139726</c:v>
                </c:pt>
                <c:pt idx="45">
                  <c:v>0.18982215546844761</c:v>
                </c:pt>
                <c:pt idx="46">
                  <c:v>0.22068521867549798</c:v>
                </c:pt>
                <c:pt idx="47">
                  <c:v>0.25154828188254835</c:v>
                </c:pt>
                <c:pt idx="48">
                  <c:v>0.4905540390881924</c:v>
                </c:pt>
                <c:pt idx="49">
                  <c:v>0.72955979629383627</c:v>
                </c:pt>
                <c:pt idx="50">
                  <c:v>0.96856555349948037</c:v>
                </c:pt>
                <c:pt idx="51">
                  <c:v>1.2075713107051242</c:v>
                </c:pt>
                <c:pt idx="52">
                  <c:v>1.4465770679107683</c:v>
                </c:pt>
                <c:pt idx="53">
                  <c:v>1.6855828251164122</c:v>
                </c:pt>
                <c:pt idx="54">
                  <c:v>1.9245885823220561</c:v>
                </c:pt>
                <c:pt idx="55">
                  <c:v>2.1635943395277</c:v>
                </c:pt>
                <c:pt idx="56">
                  <c:v>2.4921592838421707</c:v>
                </c:pt>
                <c:pt idx="57">
                  <c:v>2.8207242281566405</c:v>
                </c:pt>
                <c:pt idx="58">
                  <c:v>3.1492891724711103</c:v>
                </c:pt>
                <c:pt idx="59">
                  <c:v>3.477854116785581</c:v>
                </c:pt>
                <c:pt idx="60">
                  <c:v>3.8064190611000508</c:v>
                </c:pt>
                <c:pt idx="61">
                  <c:v>4.1349840054145206</c:v>
                </c:pt>
                <c:pt idx="62">
                  <c:v>4.46354894972899</c:v>
                </c:pt>
                <c:pt idx="63">
                  <c:v>4.7921138940434611</c:v>
                </c:pt>
                <c:pt idx="64">
                  <c:v>5.1890949046522996</c:v>
                </c:pt>
                <c:pt idx="65">
                  <c:v>5.5860759152611399</c:v>
                </c:pt>
                <c:pt idx="66">
                  <c:v>5.9830569258699775</c:v>
                </c:pt>
                <c:pt idx="67">
                  <c:v>6.3800379364788178</c:v>
                </c:pt>
                <c:pt idx="68">
                  <c:v>6.7770189470876563</c:v>
                </c:pt>
                <c:pt idx="69">
                  <c:v>7.1736287336688367</c:v>
                </c:pt>
                <c:pt idx="70">
                  <c:v>7.5696816842085282</c:v>
                </c:pt>
                <c:pt idx="71">
                  <c:v>7.9657346347482196</c:v>
                </c:pt>
                <c:pt idx="72">
                  <c:v>8.4198624485726548</c:v>
                </c:pt>
                <c:pt idx="73">
                  <c:v>8.8739902623970952</c:v>
                </c:pt>
                <c:pt idx="74">
                  <c:v>9.3281180762215303</c:v>
                </c:pt>
                <c:pt idx="75">
                  <c:v>9.782245890045969</c:v>
                </c:pt>
                <c:pt idx="76">
                  <c:v>10.236373703870406</c:v>
                </c:pt>
                <c:pt idx="77">
                  <c:v>10.671135165970924</c:v>
                </c:pt>
                <c:pt idx="78">
                  <c:v>11.076847100485574</c:v>
                </c:pt>
                <c:pt idx="79">
                  <c:v>11.48255903500022</c:v>
                </c:pt>
                <c:pt idx="80">
                  <c:v>11.939874246949435</c:v>
                </c:pt>
                <c:pt idx="81">
                  <c:v>12.397189458898657</c:v>
                </c:pt>
                <c:pt idx="82">
                  <c:v>12.854504670847872</c:v>
                </c:pt>
                <c:pt idx="83">
                  <c:v>13.311819882797089</c:v>
                </c:pt>
                <c:pt idx="84">
                  <c:v>13.769135094746304</c:v>
                </c:pt>
                <c:pt idx="85">
                  <c:v>14.09333869161139</c:v>
                </c:pt>
                <c:pt idx="86">
                  <c:v>14.21787486585028</c:v>
                </c:pt>
                <c:pt idx="87">
                  <c:v>14.342411040089171</c:v>
                </c:pt>
                <c:pt idx="88">
                  <c:v>14.513989038602936</c:v>
                </c:pt>
                <c:pt idx="89">
                  <c:v>14.685567037116705</c:v>
                </c:pt>
                <c:pt idx="90">
                  <c:v>14.857145035630467</c:v>
                </c:pt>
                <c:pt idx="91">
                  <c:v>15.028723034144237</c:v>
                </c:pt>
                <c:pt idx="92">
                  <c:v>15.200301032658004</c:v>
                </c:pt>
                <c:pt idx="93">
                  <c:v>15.314604054026725</c:v>
                </c:pt>
                <c:pt idx="94">
                  <c:v>15.342994609677879</c:v>
                </c:pt>
                <c:pt idx="95">
                  <c:v>15.371385165329031</c:v>
                </c:pt>
                <c:pt idx="96">
                  <c:v>15.39977572098018</c:v>
                </c:pt>
                <c:pt idx="97">
                  <c:v>15.428166276631334</c:v>
                </c:pt>
                <c:pt idx="98">
                  <c:v>15.456556832282486</c:v>
                </c:pt>
                <c:pt idx="99">
                  <c:v>15.484947387933637</c:v>
                </c:pt>
                <c:pt idx="100">
                  <c:v>15.513337943584791</c:v>
                </c:pt>
                <c:pt idx="101">
                  <c:v>15.49797499097104</c:v>
                </c:pt>
                <c:pt idx="102">
                  <c:v>15.416981775959938</c:v>
                </c:pt>
                <c:pt idx="103">
                  <c:v>15.335988560948833</c:v>
                </c:pt>
                <c:pt idx="104">
                  <c:v>15.254995345937733</c:v>
                </c:pt>
                <c:pt idx="105">
                  <c:v>15.174002130926633</c:v>
                </c:pt>
                <c:pt idx="106">
                  <c:v>15.093008915915531</c:v>
                </c:pt>
                <c:pt idx="107">
                  <c:v>15.012015700904429</c:v>
                </c:pt>
                <c:pt idx="108">
                  <c:v>14.931022485893326</c:v>
                </c:pt>
                <c:pt idx="109">
                  <c:v>14.812889178673775</c:v>
                </c:pt>
                <c:pt idx="110">
                  <c:v>14.639045733141552</c:v>
                </c:pt>
                <c:pt idx="111">
                  <c:v>14.465202287609332</c:v>
                </c:pt>
                <c:pt idx="112">
                  <c:v>14.291358842077109</c:v>
                </c:pt>
                <c:pt idx="113">
                  <c:v>14.117515396544889</c:v>
                </c:pt>
                <c:pt idx="114">
                  <c:v>13.943671951012668</c:v>
                </c:pt>
                <c:pt idx="115">
                  <c:v>13.769828505480444</c:v>
                </c:pt>
                <c:pt idx="116">
                  <c:v>13.595985059948223</c:v>
                </c:pt>
                <c:pt idx="117">
                  <c:v>13.389140236990782</c:v>
                </c:pt>
                <c:pt idx="118">
                  <c:v>13.132793347895506</c:v>
                </c:pt>
                <c:pt idx="119">
                  <c:v>12.876446458800228</c:v>
                </c:pt>
                <c:pt idx="120">
                  <c:v>12.620099569704953</c:v>
                </c:pt>
                <c:pt idx="121">
                  <c:v>12.363752680609679</c:v>
                </c:pt>
                <c:pt idx="122">
                  <c:v>12.107405791514401</c:v>
                </c:pt>
                <c:pt idx="123">
                  <c:v>11.851058902419126</c:v>
                </c:pt>
                <c:pt idx="124">
                  <c:v>11.59471201332385</c:v>
                </c:pt>
                <c:pt idx="125">
                  <c:v>11.308280891698294</c:v>
                </c:pt>
                <c:pt idx="126">
                  <c:v>10.976723421277317</c:v>
                </c:pt>
                <c:pt idx="127">
                  <c:v>10.645165950856343</c:v>
                </c:pt>
                <c:pt idx="128">
                  <c:v>10.313608480435365</c:v>
                </c:pt>
                <c:pt idx="129">
                  <c:v>9.9820510100143913</c:v>
                </c:pt>
                <c:pt idx="130">
                  <c:v>9.6504935395934144</c:v>
                </c:pt>
                <c:pt idx="131">
                  <c:v>9.3189360691724374</c:v>
                </c:pt>
                <c:pt idx="132">
                  <c:v>8.9875899322803168</c:v>
                </c:pt>
                <c:pt idx="133">
                  <c:v>8.6563800499002195</c:v>
                </c:pt>
                <c:pt idx="134">
                  <c:v>8.3251701675201222</c:v>
                </c:pt>
                <c:pt idx="135">
                  <c:v>7.9939602851400249</c:v>
                </c:pt>
                <c:pt idx="136">
                  <c:v>7.6627504027599294</c:v>
                </c:pt>
                <c:pt idx="137">
                  <c:v>7.3315405203798321</c:v>
                </c:pt>
                <c:pt idx="138">
                  <c:v>7.0003306379997357</c:v>
                </c:pt>
                <c:pt idx="139">
                  <c:v>6.6691207556196401</c:v>
                </c:pt>
                <c:pt idx="140">
                  <c:v>6.3489359124231957</c:v>
                </c:pt>
                <c:pt idx="141">
                  <c:v>6.035859318174106</c:v>
                </c:pt>
                <c:pt idx="142">
                  <c:v>5.7227827239250164</c:v>
                </c:pt>
                <c:pt idx="143">
                  <c:v>5.4097061296759259</c:v>
                </c:pt>
                <c:pt idx="144">
                  <c:v>5.0966295354268372</c:v>
                </c:pt>
                <c:pt idx="145">
                  <c:v>4.7835529411777475</c:v>
                </c:pt>
                <c:pt idx="146">
                  <c:v>4.4704763469286579</c:v>
                </c:pt>
                <c:pt idx="147">
                  <c:v>4.1573997526795692</c:v>
                </c:pt>
                <c:pt idx="148">
                  <c:v>3.9201020554072148</c:v>
                </c:pt>
                <c:pt idx="149">
                  <c:v>3.7316618048698582</c:v>
                </c:pt>
                <c:pt idx="150">
                  <c:v>3.5432215543325007</c:v>
                </c:pt>
                <c:pt idx="151">
                  <c:v>3.3547813037951437</c:v>
                </c:pt>
                <c:pt idx="152">
                  <c:v>3.1663410532577871</c:v>
                </c:pt>
                <c:pt idx="153">
                  <c:v>2.9779008027204306</c:v>
                </c:pt>
                <c:pt idx="154">
                  <c:v>2.789460552183074</c:v>
                </c:pt>
                <c:pt idx="155">
                  <c:v>2.6010203016457178</c:v>
                </c:pt>
                <c:pt idx="156">
                  <c:v>2.4451860306066644</c:v>
                </c:pt>
                <c:pt idx="157">
                  <c:v>2.310374035823096</c:v>
                </c:pt>
                <c:pt idx="158">
                  <c:v>2.1755620410395271</c:v>
                </c:pt>
                <c:pt idx="159">
                  <c:v>2.0407500462559582</c:v>
                </c:pt>
                <c:pt idx="160">
                  <c:v>1.9059380514723898</c:v>
                </c:pt>
                <c:pt idx="161">
                  <c:v>1.7711260566888209</c:v>
                </c:pt>
                <c:pt idx="162">
                  <c:v>1.6363140619052525</c:v>
                </c:pt>
                <c:pt idx="163">
                  <c:v>1.5015020671216841</c:v>
                </c:pt>
                <c:pt idx="164">
                  <c:v>1.3915984365937901</c:v>
                </c:pt>
                <c:pt idx="165">
                  <c:v>1.2977541461781072</c:v>
                </c:pt>
                <c:pt idx="166">
                  <c:v>1.2039098557624239</c:v>
                </c:pt>
                <c:pt idx="167">
                  <c:v>1.1100655653467406</c:v>
                </c:pt>
                <c:pt idx="168">
                  <c:v>1.0162212749310577</c:v>
                </c:pt>
                <c:pt idx="169">
                  <c:v>0.92237698451537453</c:v>
                </c:pt>
                <c:pt idx="170">
                  <c:v>0.82853269409969155</c:v>
                </c:pt>
                <c:pt idx="171">
                  <c:v>0.73468840368400867</c:v>
                </c:pt>
                <c:pt idx="172">
                  <c:v>0.66198753654804166</c:v>
                </c:pt>
                <c:pt idx="173">
                  <c:v>0.60291861336873309</c:v>
                </c:pt>
                <c:pt idx="174">
                  <c:v>0.5438496901894242</c:v>
                </c:pt>
                <c:pt idx="175">
                  <c:v>0.48478076701011519</c:v>
                </c:pt>
                <c:pt idx="176">
                  <c:v>0.42571184383080662</c:v>
                </c:pt>
                <c:pt idx="177">
                  <c:v>0.36664292065149801</c:v>
                </c:pt>
                <c:pt idx="178">
                  <c:v>0.30757399747218944</c:v>
                </c:pt>
                <c:pt idx="179">
                  <c:v>0.24850507429288082</c:v>
                </c:pt>
                <c:pt idx="180">
                  <c:v>0.20822345211969115</c:v>
                </c:pt>
                <c:pt idx="181">
                  <c:v>0.18005469506886715</c:v>
                </c:pt>
                <c:pt idx="182">
                  <c:v>0.15188593801804312</c:v>
                </c:pt>
                <c:pt idx="183">
                  <c:v>0.1237171809672188</c:v>
                </c:pt>
                <c:pt idx="184">
                  <c:v>9.5548423916394787E-2</c:v>
                </c:pt>
                <c:pt idx="185">
                  <c:v>6.7379666865570773E-2</c:v>
                </c:pt>
                <c:pt idx="186">
                  <c:v>3.9210909814746765E-2</c:v>
                </c:pt>
                <c:pt idx="187">
                  <c:v>1.1042152763922754E-2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3C-46FE-B18C-7E20A5330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149708"/>
        <c:axId val="228554380"/>
      </c:lineChart>
      <c:catAx>
        <c:axId val="933149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(hs)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28554380"/>
        <c:crosses val="autoZero"/>
        <c:auto val="1"/>
        <c:lblAlgn val="ctr"/>
        <c:lblOffset val="100"/>
        <c:noMultiLvlLbl val="1"/>
      </c:catAx>
      <c:valAx>
        <c:axId val="228554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Caudal m^3/s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9331497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Tormenta de Diseño - P efectiva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Tormenta de Diseño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'NRCS - Chica'!$O$21</c:f>
              <c:numCache>
                <c:formatCode>General</c:formatCode>
                <c:ptCount val="1"/>
              </c:numCache>
            </c:numRef>
          </c:cat>
          <c:val>
            <c:numRef>
              <c:f>'NRCS - Chica'!$N$6:$N$17</c:f>
              <c:numCache>
                <c:formatCode>0.000</c:formatCode>
                <c:ptCount val="12"/>
                <c:pt idx="0">
                  <c:v>2.2302662917836287</c:v>
                </c:pt>
                <c:pt idx="1">
                  <c:v>2.4895452170327204</c:v>
                </c:pt>
                <c:pt idx="2">
                  <c:v>2.8542947786885193</c:v>
                </c:pt>
                <c:pt idx="3">
                  <c:v>3.4198839179972751</c:v>
                </c:pt>
                <c:pt idx="4">
                  <c:v>4.4684172777617022</c:v>
                </c:pt>
                <c:pt idx="5">
                  <c:v>7.5547295103044902</c:v>
                </c:pt>
                <c:pt idx="6">
                  <c:v>18.072921917420786</c:v>
                </c:pt>
                <c:pt idx="7">
                  <c:v>5.4774259371499951</c:v>
                </c:pt>
                <c:pt idx="8">
                  <c:v>3.8483736573972038</c:v>
                </c:pt>
                <c:pt idx="9">
                  <c:v>3.1018954250570374</c:v>
                </c:pt>
                <c:pt idx="10">
                  <c:v>2.6547041380191416</c:v>
                </c:pt>
                <c:pt idx="11">
                  <c:v>2.3500477929329122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03-4F5D-AF89-277AC2BD413D}"/>
            </c:ext>
          </c:extLst>
        </c:ser>
        <c:ser>
          <c:idx val="1"/>
          <c:order val="1"/>
          <c:tx>
            <c:v>P efectiva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'NRCS - Chica'!$O$21</c:f>
              <c:numCache>
                <c:formatCode>General</c:formatCode>
                <c:ptCount val="1"/>
              </c:numCache>
            </c:numRef>
          </c:cat>
          <c:val>
            <c:numRef>
              <c:f>'NRCS - Chica'!$S$6:$S$17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1.7676550354331688E-2</c:v>
                </c:pt>
                <c:pt idx="5">
                  <c:v>0.92216630907852171</c:v>
                </c:pt>
                <c:pt idx="6">
                  <c:v>6.3383671084536992</c:v>
                </c:pt>
                <c:pt idx="7">
                  <c:v>2.7272588574945118</c:v>
                </c:pt>
                <c:pt idx="8">
                  <c:v>2.0834079542227215</c:v>
                </c:pt>
                <c:pt idx="9">
                  <c:v>1.7684973524675414</c:v>
                </c:pt>
                <c:pt idx="10">
                  <c:v>1.5714244401097996</c:v>
                </c:pt>
                <c:pt idx="11">
                  <c:v>1.4325189415850872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F03-4F5D-AF89-277AC2BD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1584086"/>
        <c:axId val="1296375815"/>
      </c:barChart>
      <c:catAx>
        <c:axId val="2041584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296375815"/>
        <c:crosses val="autoZero"/>
        <c:auto val="1"/>
        <c:lblAlgn val="ctr"/>
        <c:lblOffset val="100"/>
        <c:noMultiLvlLbl val="1"/>
      </c:catAx>
      <c:valAx>
        <c:axId val="1296375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Precipitación (mm)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0415840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s-419" b="0">
                <a:solidFill>
                  <a:srgbClr val="000000"/>
                </a:solidFill>
                <a:latin typeface="+mn-lt"/>
              </a:rPr>
              <a:t>Hietograma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'EJ 2'!$B$3:$K$3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'EJ 2'!$B$4:$K$4</c:f>
              <c:numCache>
                <c:formatCode>General</c:formatCode>
                <c:ptCount val="10"/>
                <c:pt idx="0">
                  <c:v>2.2000000000000002</c:v>
                </c:pt>
                <c:pt idx="1">
                  <c:v>6</c:v>
                </c:pt>
                <c:pt idx="2">
                  <c:v>11.1</c:v>
                </c:pt>
                <c:pt idx="3">
                  <c:v>4.5999999999999996</c:v>
                </c:pt>
                <c:pt idx="4">
                  <c:v>3.3</c:v>
                </c:pt>
                <c:pt idx="5">
                  <c:v>1.8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48-409B-9493-8423ED700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7649559"/>
        <c:axId val="806114184"/>
      </c:barChart>
      <c:catAx>
        <c:axId val="1847649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419" b="0">
                    <a:solidFill>
                      <a:srgbClr val="000000"/>
                    </a:solidFill>
                    <a:latin typeface="+mn-lt"/>
                  </a:rPr>
                  <a:t> t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806114184"/>
        <c:crosses val="autoZero"/>
        <c:auto val="1"/>
        <c:lblAlgn val="ctr"/>
        <c:lblOffset val="100"/>
        <c:noMultiLvlLbl val="1"/>
      </c:catAx>
      <c:valAx>
        <c:axId val="806114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419" b="0">
                    <a:solidFill>
                      <a:srgbClr val="000000"/>
                    </a:solidFill>
                    <a:latin typeface="+mn-lt"/>
                  </a:rPr>
                  <a:t>P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8476495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16</xdr:row>
      <xdr:rowOff>180975</xdr:rowOff>
    </xdr:from>
    <xdr:ext cx="5086350" cy="43529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419100</xdr:colOff>
      <xdr:row>19</xdr:row>
      <xdr:rowOff>152400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247650</xdr:colOff>
      <xdr:row>49</xdr:row>
      <xdr:rowOff>95250</xdr:rowOff>
    </xdr:from>
    <xdr:ext cx="6181725" cy="38004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152400</xdr:colOff>
      <xdr:row>19</xdr:row>
      <xdr:rowOff>38100</xdr:rowOff>
    </xdr:from>
    <xdr:ext cx="7829550" cy="35337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419100</xdr:colOff>
      <xdr:row>19</xdr:row>
      <xdr:rowOff>152400</xdr:rowOff>
    </xdr:from>
    <xdr:ext cx="5715000" cy="3533775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247650</xdr:colOff>
      <xdr:row>49</xdr:row>
      <xdr:rowOff>95250</xdr:rowOff>
    </xdr:from>
    <xdr:ext cx="6181725" cy="380047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152400</xdr:colOff>
      <xdr:row>19</xdr:row>
      <xdr:rowOff>38100</xdr:rowOff>
    </xdr:from>
    <xdr:ext cx="7829550" cy="3533775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142875</xdr:rowOff>
    </xdr:from>
    <xdr:ext cx="4638675" cy="361950"/>
    <xdr:pic>
      <xdr:nvPicPr>
        <xdr:cNvPr id="2" name="image4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18</xdr:row>
      <xdr:rowOff>114300</xdr:rowOff>
    </xdr:from>
    <xdr:ext cx="4629150" cy="361950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638675" cy="352425"/>
    <xdr:pic>
      <xdr:nvPicPr>
        <xdr:cNvPr id="4" name="image2.png" title="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190500</xdr:colOff>
      <xdr:row>1</xdr:row>
      <xdr:rowOff>133350</xdr:rowOff>
    </xdr:from>
    <xdr:ext cx="4124325" cy="2543175"/>
    <xdr:graphicFrame macro="">
      <xdr:nvGraphicFramePr>
        <xdr:cNvPr id="7" name="Chart 7" title="Gráfico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10</xdr:row>
      <xdr:rowOff>190500</xdr:rowOff>
    </xdr:from>
    <xdr:ext cx="3162300" cy="323850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9"/>
  <sheetViews>
    <sheetView workbookViewId="0"/>
  </sheetViews>
  <sheetFormatPr baseColWidth="10" defaultColWidth="12.6640625" defaultRowHeight="15.75" customHeight="1" x14ac:dyDescent="0.25"/>
  <sheetData>
    <row r="1" spans="1:21" ht="13.2" x14ac:dyDescent="0.25">
      <c r="A1" s="52" t="s">
        <v>0</v>
      </c>
      <c r="B1" s="53"/>
      <c r="C1" s="1" t="s">
        <v>1</v>
      </c>
    </row>
    <row r="2" spans="1:21" ht="17.25" customHeight="1" x14ac:dyDescent="0.25">
      <c r="F2" s="2">
        <v>10.141999999999999</v>
      </c>
    </row>
    <row r="3" spans="1:21" ht="13.2" x14ac:dyDescent="0.25">
      <c r="A3" s="52" t="s">
        <v>2</v>
      </c>
      <c r="B3" s="53"/>
      <c r="C3" s="3"/>
      <c r="F3" s="2">
        <f>0.0184*100</f>
        <v>1.8399999999999999</v>
      </c>
      <c r="L3" s="52" t="s">
        <v>3</v>
      </c>
      <c r="M3" s="53"/>
    </row>
    <row r="4" spans="1:21" ht="13.2" x14ac:dyDescent="0.25">
      <c r="A4" s="3"/>
      <c r="B4" s="3"/>
      <c r="C4" s="3"/>
      <c r="L4" s="3"/>
      <c r="M4" s="3"/>
    </row>
    <row r="5" spans="1:21" ht="13.2" x14ac:dyDescent="0.25">
      <c r="A5" s="48" t="s">
        <v>4</v>
      </c>
      <c r="B5" s="51">
        <f>(0.4*(D5^0.77))/D6^0.385</f>
        <v>1.8202980232015775</v>
      </c>
      <c r="C5" s="4" t="s">
        <v>5</v>
      </c>
      <c r="D5" s="5">
        <v>8.8800000000000008</v>
      </c>
      <c r="L5" s="48" t="s">
        <v>4</v>
      </c>
      <c r="M5" s="51">
        <f>(0.4*(O5^0.77))/O6^0.385</f>
        <v>0.54945990262695543</v>
      </c>
      <c r="N5" s="4" t="s">
        <v>5</v>
      </c>
      <c r="O5" s="5">
        <v>1.94</v>
      </c>
    </row>
    <row r="6" spans="1:21" ht="13.2" x14ac:dyDescent="0.25">
      <c r="A6" s="50"/>
      <c r="B6" s="50"/>
      <c r="C6" s="4" t="s">
        <v>6</v>
      </c>
      <c r="D6" s="5">
        <v>1.54</v>
      </c>
      <c r="L6" s="50"/>
      <c r="M6" s="50"/>
      <c r="N6" s="4" t="s">
        <v>6</v>
      </c>
      <c r="O6" s="5">
        <v>1.65</v>
      </c>
    </row>
    <row r="7" spans="1:21" ht="13.2" x14ac:dyDescent="0.25">
      <c r="A7" s="3"/>
      <c r="B7" s="3"/>
      <c r="C7" s="3"/>
      <c r="L7" s="3"/>
      <c r="M7" s="3"/>
    </row>
    <row r="8" spans="1:21" ht="13.2" x14ac:dyDescent="0.25">
      <c r="A8" s="58" t="s">
        <v>7</v>
      </c>
      <c r="B8" s="51">
        <f>D8*D9*D14/360</f>
        <v>72.39367028142938</v>
      </c>
      <c r="C8" s="6" t="s">
        <v>8</v>
      </c>
      <c r="D8" s="5">
        <v>0.38</v>
      </c>
      <c r="E8" s="7"/>
      <c r="F8" s="7"/>
      <c r="G8" s="7"/>
      <c r="H8" s="7"/>
      <c r="I8" s="7"/>
      <c r="J8" s="7"/>
      <c r="L8" s="58" t="s">
        <v>7</v>
      </c>
      <c r="M8" s="51">
        <f>O8*O9*O14/360</f>
        <v>19.329235544547622</v>
      </c>
      <c r="N8" s="6" t="s">
        <v>8</v>
      </c>
      <c r="O8" s="5">
        <f>D8</f>
        <v>0.38</v>
      </c>
    </row>
    <row r="9" spans="1:21" ht="13.2" x14ac:dyDescent="0.25">
      <c r="A9" s="49"/>
      <c r="B9" s="49"/>
      <c r="C9" s="58" t="s">
        <v>9</v>
      </c>
      <c r="D9" s="51">
        <f>F9/F13</f>
        <v>26.916592271869138</v>
      </c>
      <c r="E9" s="48" t="s">
        <v>10</v>
      </c>
      <c r="F9" s="51">
        <f>H9*H10*H11*H12</f>
        <v>48.996219703806254</v>
      </c>
      <c r="G9" s="4" t="s">
        <v>11</v>
      </c>
      <c r="H9" s="5">
        <v>98</v>
      </c>
      <c r="I9" s="7"/>
      <c r="J9" s="7"/>
      <c r="L9" s="49"/>
      <c r="M9" s="49"/>
      <c r="N9" s="58" t="s">
        <v>9</v>
      </c>
      <c r="O9" s="51">
        <f>Q9/Q13</f>
        <v>83.616015333299018</v>
      </c>
      <c r="P9" s="48" t="s">
        <v>10</v>
      </c>
      <c r="Q9" s="51">
        <f>S9*S10*S11*S12</f>
        <v>45.943647643088489</v>
      </c>
      <c r="R9" s="4" t="s">
        <v>11</v>
      </c>
      <c r="S9" s="5">
        <v>98</v>
      </c>
      <c r="T9" s="7"/>
      <c r="U9" s="7"/>
    </row>
    <row r="10" spans="1:21" ht="13.2" x14ac:dyDescent="0.25">
      <c r="A10" s="49"/>
      <c r="B10" s="49"/>
      <c r="C10" s="49"/>
      <c r="D10" s="49"/>
      <c r="E10" s="49"/>
      <c r="F10" s="49"/>
      <c r="G10" s="4" t="s">
        <v>12</v>
      </c>
      <c r="H10" s="8">
        <f>0.5786-0.4312*LOG(LN(J10/(J10-1)))</f>
        <v>0.64723606119733634</v>
      </c>
      <c r="I10" s="4" t="s">
        <v>13</v>
      </c>
      <c r="J10" s="5">
        <v>2</v>
      </c>
      <c r="L10" s="49"/>
      <c r="M10" s="49"/>
      <c r="N10" s="49"/>
      <c r="O10" s="49"/>
      <c r="P10" s="49"/>
      <c r="Q10" s="49"/>
      <c r="R10" s="4" t="s">
        <v>12</v>
      </c>
      <c r="S10" s="8">
        <f>0.5786-0.4312*LOG(LN(U10/(U10-1)))</f>
        <v>1.0000212949130891</v>
      </c>
      <c r="T10" s="4" t="s">
        <v>13</v>
      </c>
      <c r="U10" s="5">
        <v>10</v>
      </c>
    </row>
    <row r="11" spans="1:21" ht="13.2" x14ac:dyDescent="0.25">
      <c r="A11" s="49"/>
      <c r="B11" s="49"/>
      <c r="C11" s="49"/>
      <c r="D11" s="49"/>
      <c r="E11" s="49"/>
      <c r="F11" s="49"/>
      <c r="G11" s="4" t="s">
        <v>14</v>
      </c>
      <c r="H11" s="8">
        <f>IF(F13&gt;3, (1.0287*F13)/((F13+1.0293)^0.8083), (0.6208*F13)/((F13+0.0137)^0.5639))</f>
        <v>0.80271908147181692</v>
      </c>
      <c r="I11" s="7"/>
      <c r="J11" s="7"/>
      <c r="L11" s="49"/>
      <c r="M11" s="49"/>
      <c r="N11" s="49"/>
      <c r="O11" s="49"/>
      <c r="P11" s="49"/>
      <c r="Q11" s="49"/>
      <c r="R11" s="4" t="s">
        <v>14</v>
      </c>
      <c r="S11" s="8">
        <f>IF(Q13&gt;3, (1.0287*Q13)/((Q13+1.0293)^0.8083), (0.6208*Q13)/((Q13+0.0137)^0.5639))</f>
        <v>0.47152691038034983</v>
      </c>
      <c r="T11" s="7"/>
      <c r="U11" s="7"/>
    </row>
    <row r="12" spans="1:21" ht="13.2" x14ac:dyDescent="0.25">
      <c r="A12" s="49"/>
      <c r="B12" s="49"/>
      <c r="C12" s="49"/>
      <c r="D12" s="49"/>
      <c r="E12" s="50"/>
      <c r="F12" s="50"/>
      <c r="G12" s="4" t="s">
        <v>15</v>
      </c>
      <c r="H12" s="8">
        <f>1-(0.3549*(F13^-0.4272)*(1-EXP(-0.005792*D15)))</f>
        <v>0.96229937710719471</v>
      </c>
      <c r="I12" s="7" t="s">
        <v>16</v>
      </c>
      <c r="J12" s="7"/>
      <c r="L12" s="49"/>
      <c r="M12" s="49"/>
      <c r="N12" s="49"/>
      <c r="O12" s="49"/>
      <c r="P12" s="50"/>
      <c r="Q12" s="50"/>
      <c r="R12" s="4" t="s">
        <v>15</v>
      </c>
      <c r="S12" s="8">
        <f>1-(0.3549*(Q13^-0.4272)*(1-EXP(-0.005792*O15)))</f>
        <v>0.99422267874382342</v>
      </c>
      <c r="T12" s="7"/>
      <c r="U12" s="7"/>
    </row>
    <row r="13" spans="1:21" ht="13.2" x14ac:dyDescent="0.25">
      <c r="A13" s="49"/>
      <c r="B13" s="49"/>
      <c r="C13" s="50"/>
      <c r="D13" s="50"/>
      <c r="E13" s="4" t="s">
        <v>17</v>
      </c>
      <c r="F13" s="8">
        <f>B5</f>
        <v>1.8202980232015775</v>
      </c>
      <c r="G13" s="7"/>
      <c r="H13" s="7"/>
      <c r="I13" s="7"/>
      <c r="J13" s="7"/>
      <c r="L13" s="49"/>
      <c r="M13" s="49"/>
      <c r="N13" s="50"/>
      <c r="O13" s="50"/>
      <c r="P13" s="4" t="s">
        <v>17</v>
      </c>
      <c r="Q13" s="8">
        <f>M5</f>
        <v>0.54945990262695543</v>
      </c>
      <c r="R13" s="7"/>
      <c r="S13" s="7"/>
      <c r="T13" s="7"/>
      <c r="U13" s="7"/>
    </row>
    <row r="14" spans="1:21" ht="13.2" x14ac:dyDescent="0.25">
      <c r="A14" s="50"/>
      <c r="B14" s="50"/>
      <c r="C14" s="6" t="s">
        <v>18</v>
      </c>
      <c r="D14" s="5">
        <v>2548</v>
      </c>
      <c r="E14" s="7"/>
      <c r="F14" s="7"/>
      <c r="G14" s="7"/>
      <c r="H14" s="7"/>
      <c r="I14" s="7"/>
      <c r="J14" s="7"/>
      <c r="L14" s="50"/>
      <c r="M14" s="50"/>
      <c r="N14" s="6" t="s">
        <v>18</v>
      </c>
      <c r="O14" s="5">
        <f>O15*100</f>
        <v>219</v>
      </c>
    </row>
    <row r="15" spans="1:21" ht="13.2" x14ac:dyDescent="0.25">
      <c r="C15" s="6" t="s">
        <v>19</v>
      </c>
      <c r="D15" s="9">
        <f>D14/100</f>
        <v>25.48</v>
      </c>
      <c r="N15" s="6" t="s">
        <v>19</v>
      </c>
      <c r="O15" s="9">
        <v>2.19</v>
      </c>
    </row>
    <row r="16" spans="1:21" ht="13.2" x14ac:dyDescent="0.25">
      <c r="P16" s="7"/>
    </row>
    <row r="18" spans="8:19" ht="13.2" x14ac:dyDescent="0.25">
      <c r="I18" s="52" t="s">
        <v>20</v>
      </c>
      <c r="J18" s="53"/>
      <c r="K18" s="53"/>
      <c r="L18" s="53"/>
      <c r="M18" s="53"/>
      <c r="N18" s="53"/>
      <c r="O18" s="53"/>
      <c r="Q18" s="7"/>
      <c r="R18" s="7"/>
      <c r="S18" s="7"/>
    </row>
    <row r="19" spans="8:19" ht="14.4" x14ac:dyDescent="0.25">
      <c r="H19" s="10" t="s">
        <v>21</v>
      </c>
      <c r="I19" s="11">
        <v>2</v>
      </c>
      <c r="J19" s="11">
        <v>5</v>
      </c>
      <c r="K19" s="11">
        <v>10</v>
      </c>
      <c r="L19" s="11">
        <v>25</v>
      </c>
      <c r="M19" s="11">
        <v>50</v>
      </c>
      <c r="N19" s="11">
        <v>100</v>
      </c>
      <c r="O19" s="11">
        <v>500</v>
      </c>
    </row>
    <row r="21" spans="8:19" ht="14.4" x14ac:dyDescent="0.25">
      <c r="H21" s="54" t="s">
        <v>22</v>
      </c>
      <c r="I21" s="55"/>
      <c r="J21" s="55"/>
      <c r="K21" s="55"/>
      <c r="L21" s="55"/>
      <c r="M21" s="55"/>
      <c r="N21" s="55"/>
      <c r="O21" s="56"/>
    </row>
    <row r="22" spans="8:19" ht="14.4" x14ac:dyDescent="0.3">
      <c r="H22" s="12" t="s">
        <v>23</v>
      </c>
      <c r="I22" s="13" t="s">
        <v>24</v>
      </c>
      <c r="J22" s="13" t="s">
        <v>25</v>
      </c>
      <c r="K22" s="13" t="s">
        <v>26</v>
      </c>
      <c r="L22" s="13" t="s">
        <v>27</v>
      </c>
      <c r="M22" s="13" t="s">
        <v>28</v>
      </c>
      <c r="N22" s="13" t="s">
        <v>29</v>
      </c>
      <c r="O22" s="13">
        <v>1</v>
      </c>
    </row>
    <row r="23" spans="8:19" ht="14.4" x14ac:dyDescent="0.3">
      <c r="H23" s="12" t="s">
        <v>30</v>
      </c>
      <c r="I23" s="13" t="s">
        <v>31</v>
      </c>
      <c r="J23" s="13" t="s">
        <v>25</v>
      </c>
      <c r="K23" s="13" t="s">
        <v>32</v>
      </c>
      <c r="L23" s="13" t="s">
        <v>33</v>
      </c>
      <c r="M23" s="13" t="s">
        <v>34</v>
      </c>
      <c r="N23" s="13" t="s">
        <v>35</v>
      </c>
      <c r="O23" s="13">
        <v>1</v>
      </c>
    </row>
    <row r="24" spans="8:19" ht="14.4" x14ac:dyDescent="0.25">
      <c r="H24" s="57" t="s">
        <v>36</v>
      </c>
      <c r="I24" s="55"/>
      <c r="J24" s="55"/>
      <c r="K24" s="55"/>
      <c r="L24" s="55"/>
      <c r="M24" s="55"/>
      <c r="N24" s="55"/>
      <c r="O24" s="56"/>
    </row>
    <row r="25" spans="8:19" ht="14.4" x14ac:dyDescent="0.25">
      <c r="H25" s="57" t="s">
        <v>37</v>
      </c>
      <c r="I25" s="55"/>
      <c r="J25" s="55"/>
      <c r="K25" s="55"/>
      <c r="L25" s="55"/>
      <c r="M25" s="55"/>
      <c r="N25" s="55"/>
      <c r="O25" s="56"/>
    </row>
    <row r="26" spans="8:19" ht="14.4" x14ac:dyDescent="0.3">
      <c r="H26" s="14" t="s">
        <v>38</v>
      </c>
      <c r="I26" s="13" t="s">
        <v>39</v>
      </c>
      <c r="J26" s="13" t="s">
        <v>40</v>
      </c>
      <c r="K26" s="13">
        <v>0.37</v>
      </c>
      <c r="L26" s="13">
        <v>0.4</v>
      </c>
      <c r="M26" s="13">
        <v>0.44</v>
      </c>
      <c r="N26" s="13">
        <v>0.47</v>
      </c>
      <c r="O26" s="13">
        <v>0.57999999999999996</v>
      </c>
    </row>
    <row r="27" spans="8:19" ht="14.4" x14ac:dyDescent="0.3">
      <c r="H27" s="14" t="s">
        <v>41</v>
      </c>
      <c r="I27" s="13">
        <v>0.37</v>
      </c>
      <c r="J27" s="13">
        <v>0.4</v>
      </c>
      <c r="K27" s="13">
        <v>0.43</v>
      </c>
      <c r="L27" s="13">
        <v>0.46</v>
      </c>
      <c r="M27" s="13">
        <v>0.49</v>
      </c>
      <c r="N27" s="13" t="s">
        <v>42</v>
      </c>
      <c r="O27" s="13">
        <v>0.61</v>
      </c>
    </row>
    <row r="28" spans="8:19" ht="14.4" x14ac:dyDescent="0.3">
      <c r="H28" s="14" t="s">
        <v>43</v>
      </c>
      <c r="I28" s="13">
        <v>0.4</v>
      </c>
      <c r="J28" s="13">
        <v>0.43</v>
      </c>
      <c r="K28" s="13">
        <v>0.45</v>
      </c>
      <c r="L28" s="13" t="s">
        <v>44</v>
      </c>
      <c r="M28" s="13" t="s">
        <v>45</v>
      </c>
      <c r="N28" s="13" t="s">
        <v>46</v>
      </c>
      <c r="O28" s="13">
        <v>0.62</v>
      </c>
    </row>
    <row r="29" spans="8:19" ht="14.4" x14ac:dyDescent="0.25">
      <c r="H29" s="57" t="s">
        <v>47</v>
      </c>
      <c r="I29" s="55"/>
      <c r="J29" s="55"/>
      <c r="K29" s="55"/>
      <c r="L29" s="55"/>
      <c r="M29" s="55"/>
      <c r="N29" s="55"/>
      <c r="O29" s="56"/>
    </row>
    <row r="30" spans="8:19" ht="14.4" x14ac:dyDescent="0.3">
      <c r="H30" s="14" t="s">
        <v>38</v>
      </c>
      <c r="I30" s="13">
        <v>0.25</v>
      </c>
      <c r="J30" s="13">
        <v>0.28000000000000003</v>
      </c>
      <c r="K30" s="13">
        <v>0.3</v>
      </c>
      <c r="L30" s="13">
        <v>0.34</v>
      </c>
      <c r="M30" s="13">
        <v>0.37</v>
      </c>
      <c r="N30" s="13">
        <v>0.41</v>
      </c>
      <c r="O30" s="13" t="s">
        <v>42</v>
      </c>
    </row>
    <row r="31" spans="8:19" ht="14.4" x14ac:dyDescent="0.3">
      <c r="H31" s="14" t="s">
        <v>41</v>
      </c>
      <c r="I31" s="13">
        <v>0.33</v>
      </c>
      <c r="J31" s="13">
        <v>0.36</v>
      </c>
      <c r="K31" s="13">
        <v>0.38</v>
      </c>
      <c r="L31" s="13">
        <v>0.42</v>
      </c>
      <c r="M31" s="13">
        <v>0.45</v>
      </c>
      <c r="N31" s="13" t="s">
        <v>44</v>
      </c>
      <c r="O31" s="13">
        <v>0.57999999999999996</v>
      </c>
    </row>
    <row r="32" spans="8:19" ht="14.4" x14ac:dyDescent="0.3">
      <c r="H32" s="14" t="s">
        <v>43</v>
      </c>
      <c r="I32" s="13">
        <v>0.37</v>
      </c>
      <c r="J32" s="13">
        <v>0.4</v>
      </c>
      <c r="K32" s="13">
        <v>0.42</v>
      </c>
      <c r="L32" s="13">
        <v>0.46</v>
      </c>
      <c r="M32" s="13">
        <v>0.49</v>
      </c>
      <c r="N32" s="13">
        <v>0.53</v>
      </c>
      <c r="O32" s="13">
        <v>0.6</v>
      </c>
    </row>
    <row r="33" spans="8:15" ht="14.4" x14ac:dyDescent="0.25">
      <c r="H33" s="57" t="s">
        <v>48</v>
      </c>
      <c r="I33" s="55"/>
      <c r="J33" s="55"/>
      <c r="K33" s="55"/>
      <c r="L33" s="55"/>
      <c r="M33" s="55"/>
      <c r="N33" s="55"/>
      <c r="O33" s="56"/>
    </row>
    <row r="34" spans="8:15" ht="14.4" x14ac:dyDescent="0.3">
      <c r="H34" s="14" t="s">
        <v>38</v>
      </c>
      <c r="I34" s="13">
        <v>0.21</v>
      </c>
      <c r="J34" s="13">
        <v>0.23</v>
      </c>
      <c r="K34" s="13">
        <v>0.25</v>
      </c>
      <c r="L34" s="13">
        <v>0.28999999999999998</v>
      </c>
      <c r="M34" s="13">
        <v>0.32</v>
      </c>
      <c r="N34" s="13">
        <v>0.36</v>
      </c>
      <c r="O34" s="13">
        <v>0.49</v>
      </c>
    </row>
    <row r="35" spans="8:15" ht="14.4" x14ac:dyDescent="0.3">
      <c r="H35" s="14" t="s">
        <v>41</v>
      </c>
      <c r="I35" s="13">
        <v>0.28999999999999998</v>
      </c>
      <c r="J35" s="13">
        <v>0.32</v>
      </c>
      <c r="K35" s="13">
        <v>0.35</v>
      </c>
      <c r="L35" s="13">
        <v>0.39</v>
      </c>
      <c r="M35" s="13">
        <v>0.42</v>
      </c>
      <c r="N35" s="13">
        <v>0.46</v>
      </c>
      <c r="O35" s="13">
        <v>0.56000000000000005</v>
      </c>
    </row>
    <row r="36" spans="8:15" ht="14.4" x14ac:dyDescent="0.3">
      <c r="H36" s="14" t="s">
        <v>43</v>
      </c>
      <c r="I36" s="13">
        <v>0.34</v>
      </c>
      <c r="J36" s="13">
        <v>0.37</v>
      </c>
      <c r="K36" s="13">
        <v>0.4</v>
      </c>
      <c r="L36" s="13">
        <v>0.44</v>
      </c>
      <c r="M36" s="13">
        <v>0.47</v>
      </c>
      <c r="N36" s="13">
        <v>0.51</v>
      </c>
      <c r="O36" s="13">
        <v>0.57999999999999996</v>
      </c>
    </row>
    <row r="37" spans="8:15" ht="14.4" x14ac:dyDescent="0.25">
      <c r="H37" s="54" t="s">
        <v>49</v>
      </c>
      <c r="I37" s="55"/>
      <c r="J37" s="55"/>
      <c r="K37" s="55"/>
      <c r="L37" s="55"/>
      <c r="M37" s="55"/>
      <c r="N37" s="55"/>
      <c r="O37" s="56"/>
    </row>
    <row r="38" spans="8:15" ht="14.4" x14ac:dyDescent="0.25">
      <c r="H38" s="57" t="s">
        <v>50</v>
      </c>
      <c r="I38" s="55"/>
      <c r="J38" s="55"/>
      <c r="K38" s="55"/>
      <c r="L38" s="55"/>
      <c r="M38" s="55"/>
      <c r="N38" s="55"/>
      <c r="O38" s="56"/>
    </row>
    <row r="39" spans="8:15" ht="13.2" x14ac:dyDescent="0.25">
      <c r="H39" s="14" t="s">
        <v>38</v>
      </c>
      <c r="I39" s="15">
        <v>0.31</v>
      </c>
      <c r="J39" s="15">
        <v>0.34</v>
      </c>
      <c r="K39" s="15">
        <v>0.36</v>
      </c>
      <c r="L39" s="15">
        <v>0.4</v>
      </c>
      <c r="M39" s="15">
        <v>0.43</v>
      </c>
      <c r="N39" s="15">
        <v>0.47</v>
      </c>
      <c r="O39" s="15">
        <v>0.56999999999999995</v>
      </c>
    </row>
    <row r="40" spans="8:15" ht="13.2" x14ac:dyDescent="0.25">
      <c r="H40" s="14" t="s">
        <v>41</v>
      </c>
      <c r="I40" s="15">
        <v>0.35</v>
      </c>
      <c r="J40" s="15">
        <v>0.38</v>
      </c>
      <c r="K40" s="15">
        <v>0.41</v>
      </c>
      <c r="L40" s="15">
        <v>0.44</v>
      </c>
      <c r="M40" s="15">
        <v>0.48</v>
      </c>
      <c r="N40" s="15">
        <v>0.51</v>
      </c>
      <c r="O40" s="15">
        <v>0.6</v>
      </c>
    </row>
    <row r="41" spans="8:15" ht="13.2" x14ac:dyDescent="0.25">
      <c r="H41" s="14" t="s">
        <v>43</v>
      </c>
      <c r="I41" s="15">
        <v>0.39</v>
      </c>
      <c r="J41" s="15">
        <v>0.42</v>
      </c>
      <c r="K41" s="15">
        <v>0.44</v>
      </c>
      <c r="L41" s="15">
        <v>0.48</v>
      </c>
      <c r="M41" s="15">
        <v>0.51</v>
      </c>
      <c r="N41" s="15">
        <v>0.54</v>
      </c>
      <c r="O41" s="15">
        <v>0.61</v>
      </c>
    </row>
    <row r="42" spans="8:15" ht="14.4" x14ac:dyDescent="0.25">
      <c r="H42" s="57" t="s">
        <v>51</v>
      </c>
      <c r="I42" s="55"/>
      <c r="J42" s="55"/>
      <c r="K42" s="55"/>
      <c r="L42" s="55"/>
      <c r="M42" s="55"/>
      <c r="N42" s="55"/>
      <c r="O42" s="56"/>
    </row>
    <row r="43" spans="8:15" ht="13.2" x14ac:dyDescent="0.25">
      <c r="H43" s="14" t="s">
        <v>38</v>
      </c>
      <c r="I43" s="15">
        <v>0.25</v>
      </c>
      <c r="J43" s="15">
        <v>0.28000000000000003</v>
      </c>
      <c r="K43" s="15">
        <v>0.3</v>
      </c>
      <c r="L43" s="15">
        <v>0.34</v>
      </c>
      <c r="M43" s="15">
        <v>0.37</v>
      </c>
      <c r="N43" s="15">
        <v>0.41</v>
      </c>
      <c r="O43" s="15">
        <v>0.53</v>
      </c>
    </row>
    <row r="44" spans="8:15" ht="13.2" x14ac:dyDescent="0.25">
      <c r="H44" s="14" t="s">
        <v>41</v>
      </c>
      <c r="I44" s="15">
        <v>0.33</v>
      </c>
      <c r="J44" s="15">
        <v>0.36</v>
      </c>
      <c r="K44" s="15">
        <v>0.38</v>
      </c>
      <c r="L44" s="15">
        <v>0.42</v>
      </c>
      <c r="M44" s="15">
        <v>0.45</v>
      </c>
      <c r="N44" s="15">
        <v>0.49</v>
      </c>
      <c r="O44" s="15">
        <v>0.57999999999999996</v>
      </c>
    </row>
    <row r="45" spans="8:15" ht="13.2" x14ac:dyDescent="0.25">
      <c r="H45" s="14" t="s">
        <v>43</v>
      </c>
      <c r="I45" s="15">
        <v>0.37</v>
      </c>
      <c r="J45" s="15">
        <v>0.4</v>
      </c>
      <c r="K45" s="15">
        <v>0.42</v>
      </c>
      <c r="L45" s="15">
        <v>0.46</v>
      </c>
      <c r="M45" s="15">
        <v>0.49</v>
      </c>
      <c r="N45" s="15">
        <v>0.53</v>
      </c>
      <c r="O45" s="15">
        <v>0.6</v>
      </c>
    </row>
    <row r="46" spans="8:15" ht="14.4" x14ac:dyDescent="0.25">
      <c r="H46" s="57" t="s">
        <v>52</v>
      </c>
      <c r="I46" s="55"/>
      <c r="J46" s="55"/>
      <c r="K46" s="55"/>
      <c r="L46" s="55"/>
      <c r="M46" s="55"/>
      <c r="N46" s="55"/>
      <c r="O46" s="56"/>
    </row>
    <row r="47" spans="8:15" ht="13.2" x14ac:dyDescent="0.25">
      <c r="H47" s="14" t="s">
        <v>38</v>
      </c>
      <c r="I47" s="15">
        <v>0.22</v>
      </c>
      <c r="J47" s="15">
        <v>0.25</v>
      </c>
      <c r="K47" s="15">
        <v>0.28000000000000003</v>
      </c>
      <c r="L47" s="15">
        <v>0.31</v>
      </c>
      <c r="M47" s="15">
        <v>0.35</v>
      </c>
      <c r="N47" s="15">
        <v>0.39</v>
      </c>
      <c r="O47" s="15">
        <v>0.48</v>
      </c>
    </row>
    <row r="48" spans="8:15" ht="13.2" x14ac:dyDescent="0.25">
      <c r="H48" s="14" t="s">
        <v>41</v>
      </c>
      <c r="I48" s="15">
        <v>0.31</v>
      </c>
      <c r="J48" s="15">
        <v>0.34</v>
      </c>
      <c r="K48" s="15">
        <v>0.36</v>
      </c>
      <c r="L48" s="15">
        <v>0.4</v>
      </c>
      <c r="M48" s="15">
        <v>0.43</v>
      </c>
      <c r="N48" s="15">
        <v>0.47</v>
      </c>
      <c r="O48" s="15">
        <v>0.56000000000000005</v>
      </c>
    </row>
    <row r="49" spans="8:15" ht="13.2" x14ac:dyDescent="0.25">
      <c r="H49" s="14" t="s">
        <v>43</v>
      </c>
      <c r="I49" s="15">
        <v>0.35</v>
      </c>
      <c r="J49" s="15">
        <v>0.39</v>
      </c>
      <c r="K49" s="15">
        <v>0.41</v>
      </c>
      <c r="L49" s="15">
        <v>0.45</v>
      </c>
      <c r="M49" s="15">
        <v>0.48</v>
      </c>
      <c r="N49" s="15">
        <v>0.52</v>
      </c>
      <c r="O49" s="15">
        <v>0.57999999999999996</v>
      </c>
    </row>
  </sheetData>
  <mergeCells count="29">
    <mergeCell ref="A1:B1"/>
    <mergeCell ref="A3:B3"/>
    <mergeCell ref="L3:M3"/>
    <mergeCell ref="A5:A6"/>
    <mergeCell ref="B5:B6"/>
    <mergeCell ref="L5:L6"/>
    <mergeCell ref="M5:M6"/>
    <mergeCell ref="A8:A14"/>
    <mergeCell ref="B8:B14"/>
    <mergeCell ref="L8:L14"/>
    <mergeCell ref="C9:C13"/>
    <mergeCell ref="D9:D13"/>
    <mergeCell ref="E9:E12"/>
    <mergeCell ref="F9:F12"/>
    <mergeCell ref="H42:O42"/>
    <mergeCell ref="H46:O46"/>
    <mergeCell ref="M8:M14"/>
    <mergeCell ref="N9:N13"/>
    <mergeCell ref="O9:O13"/>
    <mergeCell ref="H24:O24"/>
    <mergeCell ref="H25:O25"/>
    <mergeCell ref="H29:O29"/>
    <mergeCell ref="H33:O33"/>
    <mergeCell ref="H37:O37"/>
    <mergeCell ref="P9:P12"/>
    <mergeCell ref="Q9:Q12"/>
    <mergeCell ref="I18:O18"/>
    <mergeCell ref="H21:O21"/>
    <mergeCell ref="H38:O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29"/>
  <sheetViews>
    <sheetView workbookViewId="0"/>
  </sheetViews>
  <sheetFormatPr baseColWidth="10" defaultColWidth="12.6640625" defaultRowHeight="15.75" customHeight="1" x14ac:dyDescent="0.25"/>
  <cols>
    <col min="1" max="1" width="21.88671875" customWidth="1"/>
    <col min="12" max="12" width="14.88671875" customWidth="1"/>
    <col min="13" max="13" width="15.44140625" customWidth="1"/>
    <col min="15" max="15" width="21.44140625" customWidth="1"/>
    <col min="19" max="19" width="15.6640625" customWidth="1"/>
  </cols>
  <sheetData>
    <row r="1" spans="1:26" ht="13.2" x14ac:dyDescent="0.25">
      <c r="A1" s="52" t="s">
        <v>53</v>
      </c>
      <c r="B1" s="53"/>
      <c r="C1" s="1" t="s">
        <v>1</v>
      </c>
    </row>
    <row r="2" spans="1:26" ht="13.2" x14ac:dyDescent="0.25">
      <c r="A2" s="65" t="s">
        <v>2</v>
      </c>
      <c r="B2" s="5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3.2" x14ac:dyDescent="0.25">
      <c r="C3" s="3"/>
      <c r="G3" s="62" t="s">
        <v>54</v>
      </c>
      <c r="H3" s="53"/>
      <c r="I3" s="53"/>
      <c r="O3" s="62" t="s">
        <v>55</v>
      </c>
      <c r="P3" s="53"/>
      <c r="Q3" s="53"/>
    </row>
    <row r="4" spans="1:26" ht="13.2" x14ac:dyDescent="0.25">
      <c r="A4" s="3"/>
      <c r="B4" s="3"/>
      <c r="C4" s="3"/>
    </row>
    <row r="5" spans="1:26" ht="13.2" x14ac:dyDescent="0.25">
      <c r="A5" s="3" t="s">
        <v>56</v>
      </c>
      <c r="B5" s="3"/>
      <c r="C5" s="3"/>
      <c r="F5" s="14"/>
      <c r="G5" s="15" t="s">
        <v>57</v>
      </c>
      <c r="H5" s="15" t="s">
        <v>58</v>
      </c>
      <c r="I5" s="15" t="s">
        <v>59</v>
      </c>
      <c r="J5" s="15" t="s">
        <v>60</v>
      </c>
      <c r="K5" s="15" t="s">
        <v>61</v>
      </c>
      <c r="L5" s="15" t="s">
        <v>62</v>
      </c>
      <c r="M5" s="15" t="s">
        <v>63</v>
      </c>
      <c r="N5" s="15" t="s">
        <v>64</v>
      </c>
      <c r="O5" s="15" t="s">
        <v>65</v>
      </c>
      <c r="P5" s="15" t="s">
        <v>66</v>
      </c>
      <c r="Q5" s="15" t="s">
        <v>67</v>
      </c>
      <c r="R5" s="15" t="s">
        <v>68</v>
      </c>
      <c r="S5" s="15" t="s">
        <v>69</v>
      </c>
    </row>
    <row r="6" spans="1:26" ht="15.75" customHeight="1" x14ac:dyDescent="0.3">
      <c r="A6" s="48" t="s">
        <v>4</v>
      </c>
      <c r="B6" s="51">
        <f>(0.4*(D6^0.77))/D7^0.385</f>
        <v>1.8203185425174959</v>
      </c>
      <c r="C6" s="4" t="s">
        <v>5</v>
      </c>
      <c r="D6" s="17">
        <v>8.8801299999999994</v>
      </c>
      <c r="F6" s="15">
        <v>1</v>
      </c>
      <c r="G6" s="18">
        <f>B6/7</f>
        <v>0.26004550607392801</v>
      </c>
      <c r="H6" s="19">
        <f t="shared" ref="H6:H17" si="0">IF(G6&lt;=3,0.6208*G6/(G6+0.0137)^0.5639,1.0287*G6/(G6+1.0293)^0.8083)</f>
        <v>0.33518230937598004</v>
      </c>
      <c r="I6" s="18">
        <f t="shared" ref="I6:I17" si="1">0.5786-0.4312*LOG10(LN($B$12/($B$12-1)))</f>
        <v>0.8594904323486714</v>
      </c>
      <c r="J6" s="20">
        <f t="shared" ref="J6:J17" si="2">1-(0.3549*(G6^-0.4272))*(1-EXP(-0.005792*$B$8))</f>
        <v>0.91342902335196918</v>
      </c>
      <c r="K6" s="18">
        <f t="shared" ref="K6:K17" si="3">$B$14</f>
        <v>98</v>
      </c>
      <c r="L6" s="19">
        <f t="shared" ref="L6:L17" si="4">H6*I6*J6*K6</f>
        <v>25.788318060808532</v>
      </c>
      <c r="M6" s="19">
        <f>L6</f>
        <v>25.788318060808532</v>
      </c>
      <c r="N6" s="19">
        <f>M17</f>
        <v>3.120353492313086</v>
      </c>
      <c r="O6" s="19">
        <f>N6</f>
        <v>3.120353492313086</v>
      </c>
      <c r="P6" s="18">
        <f t="shared" ref="P6:P17" si="5">IF(O6&lt;=$B$22,0,(O6-$B$22)^2/(O6+0.8*$B$20))</f>
        <v>0</v>
      </c>
      <c r="Q6" s="18">
        <f>P6</f>
        <v>0</v>
      </c>
      <c r="R6" s="19">
        <f t="shared" ref="R6:R17" si="6">IF((N6-Q6)&gt;$B$16*$G$6,N6-Q6,$B$16*$G$6)</f>
        <v>3.120353492313086</v>
      </c>
      <c r="S6" s="19">
        <f t="shared" ref="S6:S17" si="7">N6-R6</f>
        <v>0</v>
      </c>
    </row>
    <row r="7" spans="1:26" ht="15.75" customHeight="1" x14ac:dyDescent="0.3">
      <c r="A7" s="50"/>
      <c r="B7" s="50"/>
      <c r="C7" s="4" t="s">
        <v>6</v>
      </c>
      <c r="D7" s="5">
        <f>0.0154*100</f>
        <v>1.54</v>
      </c>
      <c r="F7" s="15">
        <v>2</v>
      </c>
      <c r="G7" s="18">
        <f>G6*2</f>
        <v>0.52009101214785602</v>
      </c>
      <c r="H7" s="19">
        <f t="shared" si="0"/>
        <v>0.46000908097566762</v>
      </c>
      <c r="I7" s="18">
        <f t="shared" si="1"/>
        <v>0.8594904323486714</v>
      </c>
      <c r="J7" s="20">
        <f t="shared" si="2"/>
        <v>0.93561683787564731</v>
      </c>
      <c r="K7" s="18">
        <f t="shared" si="3"/>
        <v>98</v>
      </c>
      <c r="L7" s="19">
        <f t="shared" si="4"/>
        <v>36.251965365105683</v>
      </c>
      <c r="M7" s="19">
        <f t="shared" ref="M7:M17" si="8">L7-L6</f>
        <v>10.463647304297151</v>
      </c>
      <c r="N7" s="19">
        <f>M15</f>
        <v>3.5734461332670833</v>
      </c>
      <c r="O7" s="19">
        <f>SUM(N6:N7)</f>
        <v>6.6937996255801693</v>
      </c>
      <c r="P7" s="18">
        <f t="shared" si="5"/>
        <v>0</v>
      </c>
      <c r="Q7" s="18">
        <f t="shared" ref="Q7:Q17" si="9">P7-P6</f>
        <v>0</v>
      </c>
      <c r="R7" s="19">
        <f t="shared" si="6"/>
        <v>3.5734461332670833</v>
      </c>
      <c r="S7" s="19">
        <f t="shared" si="7"/>
        <v>0</v>
      </c>
    </row>
    <row r="8" spans="1:26" ht="15.75" customHeight="1" x14ac:dyDescent="0.3">
      <c r="A8" s="48" t="s">
        <v>70</v>
      </c>
      <c r="B8" s="64">
        <v>25.48</v>
      </c>
      <c r="F8" s="15">
        <v>3</v>
      </c>
      <c r="G8" s="18">
        <f>G6*3</f>
        <v>0.78013651822178409</v>
      </c>
      <c r="H8" s="19">
        <f t="shared" si="0"/>
        <v>0.55165043326157381</v>
      </c>
      <c r="I8" s="18">
        <f t="shared" si="1"/>
        <v>0.8594904323486714</v>
      </c>
      <c r="J8" s="20">
        <f t="shared" si="2"/>
        <v>0.94585652611142523</v>
      </c>
      <c r="K8" s="18">
        <f t="shared" si="3"/>
        <v>98</v>
      </c>
      <c r="L8" s="19">
        <f t="shared" si="4"/>
        <v>43.949744085344584</v>
      </c>
      <c r="M8" s="19">
        <f t="shared" si="8"/>
        <v>7.697778720238901</v>
      </c>
      <c r="N8" s="19">
        <f>M13</f>
        <v>4.0876215505998204</v>
      </c>
      <c r="O8" s="19">
        <f>SUM(N6:N8)</f>
        <v>10.78142117617999</v>
      </c>
      <c r="P8" s="18">
        <f t="shared" si="5"/>
        <v>0</v>
      </c>
      <c r="Q8" s="18">
        <f t="shared" si="9"/>
        <v>0</v>
      </c>
      <c r="R8" s="19">
        <f t="shared" si="6"/>
        <v>4.0876215505998204</v>
      </c>
      <c r="S8" s="19">
        <f t="shared" si="7"/>
        <v>0</v>
      </c>
    </row>
    <row r="9" spans="1:26" ht="15.75" customHeight="1" x14ac:dyDescent="0.3">
      <c r="A9" s="50"/>
      <c r="B9" s="50"/>
      <c r="F9" s="15">
        <v>4</v>
      </c>
      <c r="G9" s="18">
        <f>G6*4</f>
        <v>1.040182024295712</v>
      </c>
      <c r="H9" s="19">
        <f t="shared" si="0"/>
        <v>0.62691497733424917</v>
      </c>
      <c r="I9" s="18">
        <f t="shared" si="1"/>
        <v>0.8594904323486714</v>
      </c>
      <c r="J9" s="20">
        <f t="shared" si="2"/>
        <v>0.95211799929226082</v>
      </c>
      <c r="K9" s="18">
        <f t="shared" si="3"/>
        <v>98</v>
      </c>
      <c r="L9" s="19">
        <f t="shared" si="4"/>
        <v>50.276674397827328</v>
      </c>
      <c r="M9" s="19">
        <f t="shared" si="8"/>
        <v>6.3269303124827445</v>
      </c>
      <c r="N9" s="19">
        <f>M11</f>
        <v>4.8790093541758779</v>
      </c>
      <c r="O9" s="19">
        <f>SUM(N6:N9)</f>
        <v>15.660430530355868</v>
      </c>
      <c r="P9" s="18">
        <f t="shared" si="5"/>
        <v>2.4321576697817326E-2</v>
      </c>
      <c r="Q9" s="18">
        <f t="shared" si="9"/>
        <v>2.4321576697817326E-2</v>
      </c>
      <c r="R9" s="19">
        <f t="shared" si="6"/>
        <v>4.8546877774780608</v>
      </c>
      <c r="S9" s="19">
        <f t="shared" si="7"/>
        <v>2.4321576697817093E-2</v>
      </c>
    </row>
    <row r="10" spans="1:26" ht="15.75" customHeight="1" x14ac:dyDescent="0.3">
      <c r="A10" s="48" t="s">
        <v>71</v>
      </c>
      <c r="B10" s="51">
        <f>B6*12/7</f>
        <v>3.1205460728871359</v>
      </c>
      <c r="F10" s="15">
        <v>5</v>
      </c>
      <c r="G10" s="18">
        <f>G6*5</f>
        <v>1.30022753036964</v>
      </c>
      <c r="H10" s="19">
        <f t="shared" si="0"/>
        <v>0.69200406583762675</v>
      </c>
      <c r="I10" s="18">
        <f t="shared" si="1"/>
        <v>0.8594904323486714</v>
      </c>
      <c r="J10" s="20">
        <f t="shared" si="2"/>
        <v>0.9564716373498483</v>
      </c>
      <c r="K10" s="18">
        <f t="shared" si="3"/>
        <v>98</v>
      </c>
      <c r="L10" s="19">
        <f t="shared" si="4"/>
        <v>55.75038420192233</v>
      </c>
      <c r="M10" s="19">
        <f t="shared" si="8"/>
        <v>5.4737098040950016</v>
      </c>
      <c r="N10" s="19">
        <f>M9</f>
        <v>6.3269303124827445</v>
      </c>
      <c r="O10" s="19">
        <f>SUM(N6:N10)</f>
        <v>21.987360842838612</v>
      </c>
      <c r="P10" s="18">
        <f t="shared" si="5"/>
        <v>0.73975450318205793</v>
      </c>
      <c r="Q10" s="18">
        <f t="shared" si="9"/>
        <v>0.71543292648424062</v>
      </c>
      <c r="R10" s="19">
        <f t="shared" si="6"/>
        <v>5.6114973859985042</v>
      </c>
      <c r="S10" s="19">
        <f t="shared" si="7"/>
        <v>0.71543292648424028</v>
      </c>
    </row>
    <row r="11" spans="1:26" ht="15.75" customHeight="1" x14ac:dyDescent="0.3">
      <c r="A11" s="50"/>
      <c r="B11" s="50"/>
      <c r="F11" s="15">
        <v>6</v>
      </c>
      <c r="G11" s="18">
        <f>G6*6</f>
        <v>1.5602730364435682</v>
      </c>
      <c r="H11" s="19">
        <f t="shared" si="0"/>
        <v>0.75000738685349089</v>
      </c>
      <c r="I11" s="18">
        <f t="shared" si="1"/>
        <v>0.8594904323486714</v>
      </c>
      <c r="J11" s="20">
        <f t="shared" si="2"/>
        <v>0.95973329408634944</v>
      </c>
      <c r="K11" s="18">
        <f t="shared" si="3"/>
        <v>98</v>
      </c>
      <c r="L11" s="19">
        <f t="shared" si="4"/>
        <v>60.629393556098208</v>
      </c>
      <c r="M11" s="19">
        <f t="shared" si="8"/>
        <v>4.8790093541758779</v>
      </c>
      <c r="N11" s="19">
        <f>M7</f>
        <v>10.463647304297151</v>
      </c>
      <c r="O11" s="19">
        <f>SUM(N6:N11)</f>
        <v>32.451008147135767</v>
      </c>
      <c r="P11" s="18">
        <f t="shared" si="5"/>
        <v>3.6588901583860012</v>
      </c>
      <c r="Q11" s="18">
        <f t="shared" si="9"/>
        <v>2.9191356552039434</v>
      </c>
      <c r="R11" s="19">
        <f t="shared" si="6"/>
        <v>7.5445116490932076</v>
      </c>
      <c r="S11" s="19">
        <f t="shared" si="7"/>
        <v>2.9191356552039434</v>
      </c>
    </row>
    <row r="12" spans="1:26" ht="15.75" customHeight="1" x14ac:dyDescent="0.3">
      <c r="A12" s="48" t="s">
        <v>72</v>
      </c>
      <c r="B12" s="63">
        <v>5</v>
      </c>
      <c r="F12" s="15">
        <v>7</v>
      </c>
      <c r="G12" s="21">
        <f>G6*7</f>
        <v>1.8203185425174961</v>
      </c>
      <c r="H12" s="22">
        <f t="shared" si="0"/>
        <v>0.80272306569294916</v>
      </c>
      <c r="I12" s="21">
        <f t="shared" si="1"/>
        <v>0.8594904323486714</v>
      </c>
      <c r="J12" s="23">
        <f t="shared" si="2"/>
        <v>0.96229955865736339</v>
      </c>
      <c r="K12" s="21">
        <f t="shared" si="3"/>
        <v>98</v>
      </c>
      <c r="L12" s="22">
        <f t="shared" si="4"/>
        <v>65.064358344982395</v>
      </c>
      <c r="M12" s="22">
        <f t="shared" si="8"/>
        <v>4.4349647888841872</v>
      </c>
      <c r="N12" s="22">
        <f>M6</f>
        <v>25.788318060808532</v>
      </c>
      <c r="O12" s="22">
        <f>SUM(N6:N12)</f>
        <v>58.239326207944302</v>
      </c>
      <c r="P12" s="21">
        <f t="shared" si="5"/>
        <v>16.686722048868845</v>
      </c>
      <c r="Q12" s="21">
        <f t="shared" si="9"/>
        <v>13.027831890482844</v>
      </c>
      <c r="R12" s="21">
        <f t="shared" si="6"/>
        <v>12.760486170325688</v>
      </c>
      <c r="S12" s="22">
        <f t="shared" si="7"/>
        <v>13.027831890482844</v>
      </c>
    </row>
    <row r="13" spans="1:26" ht="15.75" customHeight="1" x14ac:dyDescent="0.3">
      <c r="A13" s="50"/>
      <c r="B13" s="50"/>
      <c r="F13" s="15">
        <v>8</v>
      </c>
      <c r="G13" s="18">
        <f>G6*8</f>
        <v>2.0803640485914241</v>
      </c>
      <c r="H13" s="19">
        <f t="shared" si="0"/>
        <v>0.85130426531440062</v>
      </c>
      <c r="I13" s="18">
        <f t="shared" si="1"/>
        <v>0.8594904323486714</v>
      </c>
      <c r="J13" s="20">
        <f t="shared" si="2"/>
        <v>0.96438997532696924</v>
      </c>
      <c r="K13" s="18">
        <f t="shared" si="3"/>
        <v>98</v>
      </c>
      <c r="L13" s="19">
        <f t="shared" si="4"/>
        <v>69.151979895582215</v>
      </c>
      <c r="M13" s="19">
        <f t="shared" si="8"/>
        <v>4.0876215505998204</v>
      </c>
      <c r="N13" s="19">
        <f>M8</f>
        <v>7.697778720238901</v>
      </c>
      <c r="O13" s="19">
        <f>SUM(N6:N13)</f>
        <v>65.937104928183203</v>
      </c>
      <c r="P13" s="18">
        <f t="shared" si="5"/>
        <v>21.610386611058111</v>
      </c>
      <c r="Q13" s="18">
        <f t="shared" si="9"/>
        <v>4.9236645621892663</v>
      </c>
      <c r="R13" s="19">
        <f t="shared" si="6"/>
        <v>2.7741141580496347</v>
      </c>
      <c r="S13" s="19">
        <f t="shared" si="7"/>
        <v>4.9236645621892663</v>
      </c>
    </row>
    <row r="14" spans="1:26" ht="15.75" customHeight="1" x14ac:dyDescent="0.3">
      <c r="A14" s="48" t="s">
        <v>73</v>
      </c>
      <c r="B14" s="63">
        <v>98</v>
      </c>
      <c r="F14" s="15">
        <v>9</v>
      </c>
      <c r="G14" s="18">
        <f>G6*9</f>
        <v>2.3404095546653521</v>
      </c>
      <c r="H14" s="19">
        <f t="shared" si="0"/>
        <v>0.8965417354483971</v>
      </c>
      <c r="I14" s="18">
        <f t="shared" si="1"/>
        <v>0.8594904323486714</v>
      </c>
      <c r="J14" s="20">
        <f t="shared" si="2"/>
        <v>0.96613742990746931</v>
      </c>
      <c r="K14" s="18">
        <f t="shared" si="3"/>
        <v>98</v>
      </c>
      <c r="L14" s="19">
        <f t="shared" si="4"/>
        <v>72.958608365047581</v>
      </c>
      <c r="M14" s="19">
        <f t="shared" si="8"/>
        <v>3.806628469465366</v>
      </c>
      <c r="N14" s="19">
        <f>M10</f>
        <v>5.4737098040950016</v>
      </c>
      <c r="O14" s="19">
        <f>SUM(N6:N14)</f>
        <v>71.410814732278197</v>
      </c>
      <c r="P14" s="18">
        <f t="shared" si="5"/>
        <v>25.313333584828847</v>
      </c>
      <c r="Q14" s="18">
        <f t="shared" si="9"/>
        <v>3.7029469737707359</v>
      </c>
      <c r="R14" s="19">
        <f t="shared" si="6"/>
        <v>1.7707628303242657</v>
      </c>
      <c r="S14" s="19">
        <f t="shared" si="7"/>
        <v>3.7029469737707359</v>
      </c>
    </row>
    <row r="15" spans="1:26" ht="15.75" customHeight="1" x14ac:dyDescent="0.3">
      <c r="A15" s="50"/>
      <c r="B15" s="50"/>
      <c r="F15" s="15">
        <v>10</v>
      </c>
      <c r="G15" s="18">
        <f>G6*10</f>
        <v>2.60045506073928</v>
      </c>
      <c r="H15" s="19">
        <f t="shared" si="0"/>
        <v>0.93900502436000421</v>
      </c>
      <c r="I15" s="18">
        <f t="shared" si="1"/>
        <v>0.8594904323486714</v>
      </c>
      <c r="J15" s="20">
        <f t="shared" si="2"/>
        <v>0.96762779238466545</v>
      </c>
      <c r="K15" s="18">
        <f t="shared" si="3"/>
        <v>98</v>
      </c>
      <c r="L15" s="19">
        <f t="shared" si="4"/>
        <v>76.532054498314665</v>
      </c>
      <c r="M15" s="19">
        <f t="shared" si="8"/>
        <v>3.5734461332670833</v>
      </c>
      <c r="N15" s="19">
        <f>M12</f>
        <v>4.4349647888841872</v>
      </c>
      <c r="O15" s="19">
        <f>SUM(N6:N15)</f>
        <v>75.845779521162385</v>
      </c>
      <c r="P15" s="18">
        <f t="shared" si="5"/>
        <v>28.420334535112453</v>
      </c>
      <c r="Q15" s="18">
        <f t="shared" si="9"/>
        <v>3.1070009502836058</v>
      </c>
      <c r="R15" s="19">
        <f t="shared" si="6"/>
        <v>1.3279638386005814</v>
      </c>
      <c r="S15" s="19">
        <f t="shared" si="7"/>
        <v>3.1070009502836058</v>
      </c>
    </row>
    <row r="16" spans="1:26" ht="15.75" customHeight="1" x14ac:dyDescent="0.3">
      <c r="A16" s="48" t="s">
        <v>74</v>
      </c>
      <c r="B16" s="63">
        <v>1.2</v>
      </c>
      <c r="C16" s="4" t="s">
        <v>75</v>
      </c>
      <c r="D16" s="4" t="s">
        <v>76</v>
      </c>
      <c r="F16" s="15">
        <v>11</v>
      </c>
      <c r="G16" s="18">
        <f>G6*11</f>
        <v>2.860500566813208</v>
      </c>
      <c r="H16" s="19">
        <f t="shared" si="0"/>
        <v>0.97912010926814608</v>
      </c>
      <c r="I16" s="18">
        <f t="shared" si="1"/>
        <v>0.8594904323486714</v>
      </c>
      <c r="J16" s="20">
        <f t="shared" si="2"/>
        <v>0.96891940230334495</v>
      </c>
      <c r="K16" s="18">
        <f t="shared" si="3"/>
        <v>98</v>
      </c>
      <c r="L16" s="19">
        <f t="shared" si="4"/>
        <v>79.908089086847085</v>
      </c>
      <c r="M16" s="19">
        <f t="shared" si="8"/>
        <v>3.3760345885324199</v>
      </c>
      <c r="N16" s="19">
        <f>M14</f>
        <v>3.806628469465366</v>
      </c>
      <c r="O16" s="19">
        <f>SUM(N6:N16)</f>
        <v>79.652407990627751</v>
      </c>
      <c r="P16" s="18">
        <f t="shared" si="5"/>
        <v>31.155728546851666</v>
      </c>
      <c r="Q16" s="18">
        <f t="shared" si="9"/>
        <v>2.7353940117392135</v>
      </c>
      <c r="R16" s="19">
        <f t="shared" si="6"/>
        <v>1.0712344577261526</v>
      </c>
      <c r="S16" s="19">
        <f t="shared" si="7"/>
        <v>2.7353940117392135</v>
      </c>
    </row>
    <row r="17" spans="1:19" ht="15.75" customHeight="1" x14ac:dyDescent="0.3">
      <c r="A17" s="50"/>
      <c r="B17" s="50"/>
      <c r="C17" s="4" t="s">
        <v>77</v>
      </c>
      <c r="D17" s="4" t="s">
        <v>78</v>
      </c>
      <c r="F17" s="15">
        <v>12</v>
      </c>
      <c r="G17" s="18">
        <f>G6*12</f>
        <v>3.1205460728871364</v>
      </c>
      <c r="H17" s="19">
        <f t="shared" si="0"/>
        <v>1.0161646504552655</v>
      </c>
      <c r="I17" s="18">
        <f t="shared" si="1"/>
        <v>0.8594904323486714</v>
      </c>
      <c r="J17" s="20">
        <f t="shared" si="2"/>
        <v>0.97005349881181957</v>
      </c>
      <c r="K17" s="18">
        <f t="shared" si="3"/>
        <v>98</v>
      </c>
      <c r="L17" s="19">
        <f t="shared" si="4"/>
        <v>83.028442579160171</v>
      </c>
      <c r="M17" s="19">
        <f t="shared" si="8"/>
        <v>3.120353492313086</v>
      </c>
      <c r="N17" s="19">
        <f>M16</f>
        <v>3.3760345885324199</v>
      </c>
      <c r="O17" s="19">
        <f>SUM(N6:N17)</f>
        <v>83.028442579160171</v>
      </c>
      <c r="P17" s="18">
        <f t="shared" si="5"/>
        <v>33.630327402171559</v>
      </c>
      <c r="Q17" s="18">
        <f t="shared" si="9"/>
        <v>2.4745988553198934</v>
      </c>
      <c r="R17" s="19">
        <f t="shared" si="6"/>
        <v>0.90143573321252646</v>
      </c>
      <c r="S17" s="19">
        <f t="shared" si="7"/>
        <v>2.4745988553198934</v>
      </c>
    </row>
    <row r="18" spans="1:19" ht="13.2" x14ac:dyDescent="0.25">
      <c r="A18" s="48" t="s">
        <v>79</v>
      </c>
      <c r="B18" s="63">
        <v>78</v>
      </c>
      <c r="G18" s="3"/>
      <c r="H18" s="3"/>
      <c r="I18" s="3"/>
      <c r="J18" s="3"/>
      <c r="K18" s="3"/>
      <c r="L18" s="3"/>
      <c r="M18" s="3"/>
      <c r="N18" s="3"/>
    </row>
    <row r="19" spans="1:19" ht="13.2" x14ac:dyDescent="0.25">
      <c r="A19" s="50"/>
      <c r="B19" s="50"/>
      <c r="G19" s="3"/>
      <c r="H19" s="3"/>
      <c r="I19" s="3"/>
      <c r="J19" s="3"/>
      <c r="K19" s="3"/>
      <c r="L19" s="3"/>
      <c r="M19" s="3"/>
      <c r="N19" s="3"/>
      <c r="O19" s="24" t="s">
        <v>80</v>
      </c>
    </row>
    <row r="20" spans="1:19" ht="13.2" x14ac:dyDescent="0.25">
      <c r="A20" s="48" t="s">
        <v>81</v>
      </c>
      <c r="B20" s="61">
        <f>25.4*((1000/B18)-10)</f>
        <v>71.641025641025649</v>
      </c>
      <c r="C20" s="24" t="s">
        <v>82</v>
      </c>
      <c r="G20" s="3"/>
      <c r="H20" s="3"/>
      <c r="I20" s="3"/>
      <c r="J20" s="3"/>
      <c r="K20" s="3"/>
      <c r="L20" s="3"/>
      <c r="M20" s="3"/>
      <c r="N20" s="3"/>
    </row>
    <row r="21" spans="1:19" ht="13.2" x14ac:dyDescent="0.25">
      <c r="A21" s="50"/>
      <c r="B21" s="50"/>
      <c r="G21" s="3"/>
      <c r="H21" s="3"/>
      <c r="I21" s="3"/>
      <c r="J21" s="3"/>
      <c r="K21" s="3"/>
      <c r="L21" s="3"/>
      <c r="M21" s="3"/>
      <c r="N21" s="3"/>
    </row>
    <row r="22" spans="1:19" ht="13.2" x14ac:dyDescent="0.25">
      <c r="A22" s="48" t="s">
        <v>83</v>
      </c>
      <c r="B22" s="61">
        <f>0.2*B20</f>
        <v>14.328205128205131</v>
      </c>
      <c r="C22" s="24" t="s">
        <v>84</v>
      </c>
      <c r="G22" s="3"/>
      <c r="H22" s="3"/>
      <c r="I22" s="3"/>
      <c r="J22" s="3"/>
      <c r="K22" s="3"/>
      <c r="L22" s="3"/>
      <c r="M22" s="3"/>
      <c r="N22" s="3"/>
    </row>
    <row r="23" spans="1:19" ht="13.2" x14ac:dyDescent="0.25">
      <c r="A23" s="50"/>
      <c r="B23" s="50"/>
    </row>
    <row r="38" spans="1:20" ht="13.2" x14ac:dyDescent="0.25">
      <c r="A38" s="62" t="s">
        <v>85</v>
      </c>
      <c r="B38" s="53"/>
      <c r="C38" s="53"/>
    </row>
    <row r="40" spans="1:20" ht="13.2" x14ac:dyDescent="0.25">
      <c r="A40" s="48" t="s">
        <v>86</v>
      </c>
      <c r="B40" s="61">
        <f>B6/7</f>
        <v>0.26004550607392801</v>
      </c>
      <c r="D40" s="15" t="s">
        <v>87</v>
      </c>
      <c r="E40" s="14" t="s">
        <v>88</v>
      </c>
      <c r="F40" s="14" t="s">
        <v>89</v>
      </c>
      <c r="G40" s="14" t="s">
        <v>90</v>
      </c>
      <c r="H40" s="14" t="s">
        <v>91</v>
      </c>
      <c r="I40" s="14" t="s">
        <v>92</v>
      </c>
      <c r="J40" s="14" t="s">
        <v>93</v>
      </c>
      <c r="K40" s="14" t="s">
        <v>94</v>
      </c>
      <c r="L40" s="14" t="s">
        <v>95</v>
      </c>
      <c r="M40" s="14" t="s">
        <v>96</v>
      </c>
      <c r="N40" s="14" t="s">
        <v>97</v>
      </c>
      <c r="O40" s="14" t="s">
        <v>98</v>
      </c>
      <c r="P40" s="14" t="s">
        <v>99</v>
      </c>
      <c r="Q40" s="14" t="s">
        <v>100</v>
      </c>
      <c r="R40" s="14" t="s">
        <v>101</v>
      </c>
      <c r="S40" s="25" t="s">
        <v>102</v>
      </c>
      <c r="T40" s="26" t="s">
        <v>103</v>
      </c>
    </row>
    <row r="41" spans="1:20" ht="13.2" x14ac:dyDescent="0.25">
      <c r="A41" s="50"/>
      <c r="B41" s="50"/>
      <c r="D41" s="25">
        <v>0</v>
      </c>
      <c r="E41" s="27">
        <f t="shared" ref="E41:E229" si="10">D41*($B$40/8)</f>
        <v>0</v>
      </c>
      <c r="F41" s="28">
        <f t="shared" ref="F41:F141" si="11">IF($B$42&gt;E41,$C$48*E41,$C$50*E41+$C$51)</f>
        <v>0</v>
      </c>
      <c r="G41" s="29">
        <f t="shared" ref="G41:G141" si="12">$S$6*F41</f>
        <v>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28">
        <f t="shared" ref="S41:S229" si="13">SUM(G41:R41)</f>
        <v>0</v>
      </c>
      <c r="T41" s="31">
        <f>MAX(S41:S229)</f>
        <v>108.27228174506668</v>
      </c>
    </row>
    <row r="42" spans="1:20" ht="13.2" x14ac:dyDescent="0.25">
      <c r="A42" s="48" t="s">
        <v>104</v>
      </c>
      <c r="B42" s="61">
        <f>B40/2+0.6*$B$6</f>
        <v>1.2222138785474614</v>
      </c>
      <c r="D42" s="32">
        <v>1</v>
      </c>
      <c r="E42" s="27">
        <f t="shared" si="10"/>
        <v>3.2505688259241002E-2</v>
      </c>
      <c r="F42" s="28">
        <f t="shared" si="11"/>
        <v>0.11532612578158365</v>
      </c>
      <c r="G42" s="29">
        <f t="shared" si="12"/>
        <v>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3">
        <f t="shared" si="13"/>
        <v>0</v>
      </c>
    </row>
    <row r="43" spans="1:20" ht="13.2" x14ac:dyDescent="0.25">
      <c r="A43" s="50"/>
      <c r="B43" s="50"/>
      <c r="D43" s="32">
        <v>2</v>
      </c>
      <c r="E43" s="27">
        <f t="shared" si="10"/>
        <v>6.5011376518482003E-2</v>
      </c>
      <c r="F43" s="28">
        <f t="shared" si="11"/>
        <v>0.23065225156316729</v>
      </c>
      <c r="G43" s="29">
        <f t="shared" si="12"/>
        <v>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3">
        <f t="shared" si="13"/>
        <v>0</v>
      </c>
    </row>
    <row r="44" spans="1:20" ht="13.2" x14ac:dyDescent="0.25">
      <c r="A44" s="48" t="s">
        <v>105</v>
      </c>
      <c r="B44" s="61">
        <f>B42*2.667</f>
        <v>3.2596444140860794</v>
      </c>
      <c r="D44" s="32">
        <v>3</v>
      </c>
      <c r="E44" s="27">
        <f t="shared" si="10"/>
        <v>9.7517064777723012E-2</v>
      </c>
      <c r="F44" s="28">
        <f t="shared" si="11"/>
        <v>0.34597837734475095</v>
      </c>
      <c r="G44" s="29">
        <f t="shared" si="12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3">
        <f t="shared" si="13"/>
        <v>0</v>
      </c>
    </row>
    <row r="45" spans="1:20" ht="13.2" x14ac:dyDescent="0.25">
      <c r="A45" s="50"/>
      <c r="B45" s="50"/>
      <c r="D45" s="32">
        <v>4</v>
      </c>
      <c r="E45" s="27">
        <f t="shared" si="10"/>
        <v>0.13002275303696401</v>
      </c>
      <c r="F45" s="28">
        <f t="shared" si="11"/>
        <v>0.46130450312633459</v>
      </c>
      <c r="G45" s="29">
        <f t="shared" si="12"/>
        <v>0</v>
      </c>
      <c r="H45" s="34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3">
        <f t="shared" si="13"/>
        <v>0</v>
      </c>
    </row>
    <row r="46" spans="1:20" ht="13.2" x14ac:dyDescent="0.25">
      <c r="A46" s="48" t="s">
        <v>106</v>
      </c>
      <c r="B46" s="61">
        <f>2.08*B8/B42</f>
        <v>43.362623293875444</v>
      </c>
      <c r="D46" s="32">
        <v>5</v>
      </c>
      <c r="E46" s="27">
        <f t="shared" si="10"/>
        <v>0.162528441296205</v>
      </c>
      <c r="F46" s="28">
        <f t="shared" si="11"/>
        <v>0.57663062890791827</v>
      </c>
      <c r="G46" s="29">
        <f t="shared" si="12"/>
        <v>0</v>
      </c>
      <c r="H46" s="34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3">
        <f t="shared" si="13"/>
        <v>0</v>
      </c>
    </row>
    <row r="47" spans="1:20" ht="13.2" x14ac:dyDescent="0.25">
      <c r="A47" s="50"/>
      <c r="B47" s="50"/>
      <c r="D47" s="32">
        <v>6</v>
      </c>
      <c r="E47" s="27">
        <f t="shared" si="10"/>
        <v>0.19503412955544602</v>
      </c>
      <c r="F47" s="28">
        <f t="shared" si="11"/>
        <v>0.69195675468950191</v>
      </c>
      <c r="G47" s="29">
        <f t="shared" si="12"/>
        <v>0</v>
      </c>
      <c r="H47" s="34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3">
        <f t="shared" si="13"/>
        <v>0</v>
      </c>
    </row>
    <row r="48" spans="1:20" ht="13.2" x14ac:dyDescent="0.25">
      <c r="A48" s="48" t="s">
        <v>107</v>
      </c>
      <c r="B48" s="35" t="s">
        <v>108</v>
      </c>
      <c r="C48" s="36">
        <f>(B46/10)/B42</f>
        <v>3.5478752168490919</v>
      </c>
      <c r="D48" s="32">
        <v>7</v>
      </c>
      <c r="E48" s="27">
        <f t="shared" si="10"/>
        <v>0.22753981781468702</v>
      </c>
      <c r="F48" s="28">
        <f t="shared" si="11"/>
        <v>0.80728288047108554</v>
      </c>
      <c r="G48" s="29">
        <f t="shared" si="12"/>
        <v>0</v>
      </c>
      <c r="H48" s="34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3">
        <f t="shared" si="13"/>
        <v>0</v>
      </c>
    </row>
    <row r="49" spans="1:19" ht="13.2" x14ac:dyDescent="0.25">
      <c r="A49" s="50"/>
      <c r="B49" s="35" t="s">
        <v>109</v>
      </c>
      <c r="C49" s="36">
        <v>0</v>
      </c>
      <c r="D49" s="32">
        <v>8</v>
      </c>
      <c r="E49" s="27">
        <f t="shared" si="10"/>
        <v>0.26004550607392801</v>
      </c>
      <c r="F49" s="28">
        <f t="shared" si="11"/>
        <v>0.92260900625266917</v>
      </c>
      <c r="G49" s="29">
        <f t="shared" si="12"/>
        <v>0</v>
      </c>
      <c r="H49" s="34">
        <f t="shared" ref="H49:H149" si="14">F41*$S$7</f>
        <v>0</v>
      </c>
      <c r="I49" s="34"/>
      <c r="J49" s="30"/>
      <c r="K49" s="30"/>
      <c r="L49" s="30"/>
      <c r="M49" s="30"/>
      <c r="N49" s="30"/>
      <c r="O49" s="30"/>
      <c r="P49" s="30"/>
      <c r="Q49" s="30"/>
      <c r="R49" s="30"/>
      <c r="S49" s="33">
        <f t="shared" si="13"/>
        <v>0</v>
      </c>
    </row>
    <row r="50" spans="1:19" ht="13.2" x14ac:dyDescent="0.25">
      <c r="A50" s="48" t="s">
        <v>110</v>
      </c>
      <c r="B50" s="35" t="s">
        <v>111</v>
      </c>
      <c r="C50" s="36">
        <f>-(B46/10)/(1.67*B42)</f>
        <v>-2.1244761777539476</v>
      </c>
      <c r="D50" s="32">
        <v>9</v>
      </c>
      <c r="E50" s="27">
        <f t="shared" si="10"/>
        <v>0.29255119433316901</v>
      </c>
      <c r="F50" s="28">
        <f t="shared" si="11"/>
        <v>1.0379351320342529</v>
      </c>
      <c r="G50" s="29">
        <f t="shared" si="12"/>
        <v>0</v>
      </c>
      <c r="H50" s="34">
        <f t="shared" si="14"/>
        <v>0</v>
      </c>
      <c r="I50" s="34"/>
      <c r="J50" s="30"/>
      <c r="K50" s="30"/>
      <c r="L50" s="30"/>
      <c r="M50" s="30"/>
      <c r="N50" s="30"/>
      <c r="O50" s="30"/>
      <c r="P50" s="30"/>
      <c r="Q50" s="30"/>
      <c r="R50" s="30"/>
      <c r="S50" s="33">
        <f t="shared" si="13"/>
        <v>0</v>
      </c>
    </row>
    <row r="51" spans="1:19" ht="13.2" x14ac:dyDescent="0.25">
      <c r="A51" s="50"/>
      <c r="B51" s="35" t="s">
        <v>112</v>
      </c>
      <c r="C51" s="18">
        <f>B46/10+((B46/10)/1.67)</f>
        <v>6.9328265984818831</v>
      </c>
      <c r="D51" s="32">
        <v>10</v>
      </c>
      <c r="E51" s="27">
        <f t="shared" si="10"/>
        <v>0.32505688259241</v>
      </c>
      <c r="F51" s="28">
        <f t="shared" si="11"/>
        <v>1.1532612578158365</v>
      </c>
      <c r="G51" s="29">
        <f t="shared" si="12"/>
        <v>0</v>
      </c>
      <c r="H51" s="34">
        <f t="shared" si="14"/>
        <v>0</v>
      </c>
      <c r="I51" s="34"/>
      <c r="J51" s="30"/>
      <c r="K51" s="30"/>
      <c r="L51" s="30"/>
      <c r="M51" s="30"/>
      <c r="N51" s="30"/>
      <c r="O51" s="30"/>
      <c r="P51" s="30"/>
      <c r="Q51" s="30"/>
      <c r="R51" s="30"/>
      <c r="S51" s="33">
        <f t="shared" si="13"/>
        <v>0</v>
      </c>
    </row>
    <row r="52" spans="1:19" ht="13.2" x14ac:dyDescent="0.25">
      <c r="A52" s="59"/>
      <c r="B52" s="60"/>
      <c r="D52" s="32">
        <v>11</v>
      </c>
      <c r="E52" s="27">
        <f t="shared" si="10"/>
        <v>0.357562570851651</v>
      </c>
      <c r="F52" s="28">
        <f t="shared" si="11"/>
        <v>1.26858738359742</v>
      </c>
      <c r="G52" s="29">
        <f t="shared" si="12"/>
        <v>0</v>
      </c>
      <c r="H52" s="34">
        <f t="shared" si="14"/>
        <v>0</v>
      </c>
      <c r="I52" s="34"/>
      <c r="J52" s="30"/>
      <c r="K52" s="30"/>
      <c r="L52" s="30"/>
      <c r="M52" s="30"/>
      <c r="N52" s="30"/>
      <c r="O52" s="30"/>
      <c r="P52" s="30"/>
      <c r="Q52" s="30"/>
      <c r="R52" s="30"/>
      <c r="S52" s="33">
        <f t="shared" si="13"/>
        <v>0</v>
      </c>
    </row>
    <row r="53" spans="1:19" ht="13.2" x14ac:dyDescent="0.25">
      <c r="A53" s="53"/>
      <c r="B53" s="53"/>
      <c r="D53" s="32">
        <v>12</v>
      </c>
      <c r="E53" s="27">
        <f t="shared" si="10"/>
        <v>0.39006825911089205</v>
      </c>
      <c r="F53" s="28">
        <f t="shared" si="11"/>
        <v>1.3839135093790038</v>
      </c>
      <c r="G53" s="29">
        <f t="shared" si="12"/>
        <v>0</v>
      </c>
      <c r="H53" s="34">
        <f t="shared" si="14"/>
        <v>0</v>
      </c>
      <c r="I53" s="34"/>
      <c r="J53" s="37"/>
      <c r="K53" s="30"/>
      <c r="L53" s="30"/>
      <c r="M53" s="30"/>
      <c r="N53" s="30"/>
      <c r="O53" s="30"/>
      <c r="P53" s="30"/>
      <c r="Q53" s="30"/>
      <c r="R53" s="30"/>
      <c r="S53" s="33">
        <f t="shared" si="13"/>
        <v>0</v>
      </c>
    </row>
    <row r="54" spans="1:19" ht="13.2" x14ac:dyDescent="0.25">
      <c r="D54" s="32">
        <v>13</v>
      </c>
      <c r="E54" s="27">
        <f t="shared" si="10"/>
        <v>0.42257394737013304</v>
      </c>
      <c r="F54" s="28">
        <f t="shared" si="11"/>
        <v>1.4992396351605874</v>
      </c>
      <c r="G54" s="29">
        <f t="shared" si="12"/>
        <v>0</v>
      </c>
      <c r="H54" s="34">
        <f t="shared" si="14"/>
        <v>0</v>
      </c>
      <c r="I54" s="34"/>
      <c r="J54" s="37"/>
      <c r="K54" s="30"/>
      <c r="L54" s="30"/>
      <c r="M54" s="30"/>
      <c r="N54" s="30"/>
      <c r="O54" s="30"/>
      <c r="P54" s="30"/>
      <c r="Q54" s="30"/>
      <c r="R54" s="30"/>
      <c r="S54" s="33">
        <f t="shared" si="13"/>
        <v>0</v>
      </c>
    </row>
    <row r="55" spans="1:19" ht="13.2" x14ac:dyDescent="0.25">
      <c r="D55" s="32">
        <v>14</v>
      </c>
      <c r="E55" s="27">
        <f t="shared" si="10"/>
        <v>0.45507963562937404</v>
      </c>
      <c r="F55" s="28">
        <f t="shared" si="11"/>
        <v>1.6145657609421711</v>
      </c>
      <c r="G55" s="29">
        <f t="shared" si="12"/>
        <v>0</v>
      </c>
      <c r="H55" s="34">
        <f t="shared" si="14"/>
        <v>0</v>
      </c>
      <c r="I55" s="34"/>
      <c r="J55" s="37"/>
      <c r="K55" s="30"/>
      <c r="L55" s="30"/>
      <c r="M55" s="30"/>
      <c r="N55" s="30"/>
      <c r="O55" s="30"/>
      <c r="P55" s="30"/>
      <c r="Q55" s="30"/>
      <c r="R55" s="30"/>
      <c r="S55" s="33">
        <f t="shared" si="13"/>
        <v>0</v>
      </c>
    </row>
    <row r="56" spans="1:19" ht="13.2" x14ac:dyDescent="0.25">
      <c r="D56" s="32">
        <v>15</v>
      </c>
      <c r="E56" s="27">
        <f t="shared" si="10"/>
        <v>0.48758532388861503</v>
      </c>
      <c r="F56" s="28">
        <f t="shared" si="11"/>
        <v>1.7298918867237547</v>
      </c>
      <c r="G56" s="29">
        <f t="shared" si="12"/>
        <v>0</v>
      </c>
      <c r="H56" s="34">
        <f t="shared" si="14"/>
        <v>0</v>
      </c>
      <c r="I56" s="34"/>
      <c r="J56" s="37"/>
      <c r="K56" s="30"/>
      <c r="L56" s="30"/>
      <c r="M56" s="30"/>
      <c r="N56" s="30"/>
      <c r="O56" s="30"/>
      <c r="P56" s="30"/>
      <c r="Q56" s="30"/>
      <c r="R56" s="30"/>
      <c r="S56" s="33">
        <f t="shared" si="13"/>
        <v>0</v>
      </c>
    </row>
    <row r="57" spans="1:19" ht="13.2" x14ac:dyDescent="0.25">
      <c r="D57" s="32">
        <v>16</v>
      </c>
      <c r="E57" s="27">
        <f t="shared" si="10"/>
        <v>0.52009101214785602</v>
      </c>
      <c r="F57" s="28">
        <f t="shared" si="11"/>
        <v>1.8452180125053383</v>
      </c>
      <c r="G57" s="29">
        <f t="shared" si="12"/>
        <v>0</v>
      </c>
      <c r="H57" s="34">
        <f t="shared" si="14"/>
        <v>0</v>
      </c>
      <c r="I57" s="34">
        <f t="shared" ref="I57:I157" si="15">$S$8*F41</f>
        <v>0</v>
      </c>
      <c r="J57" s="37"/>
      <c r="K57" s="34"/>
      <c r="L57" s="30"/>
      <c r="M57" s="30"/>
      <c r="N57" s="30"/>
      <c r="O57" s="30"/>
      <c r="P57" s="30"/>
      <c r="Q57" s="30"/>
      <c r="R57" s="30"/>
      <c r="S57" s="33">
        <f t="shared" si="13"/>
        <v>0</v>
      </c>
    </row>
    <row r="58" spans="1:19" ht="13.2" x14ac:dyDescent="0.25">
      <c r="D58" s="32">
        <v>17</v>
      </c>
      <c r="E58" s="27">
        <f t="shared" si="10"/>
        <v>0.55259670040709707</v>
      </c>
      <c r="F58" s="28">
        <f t="shared" si="11"/>
        <v>1.9605441382869222</v>
      </c>
      <c r="G58" s="29">
        <f t="shared" si="12"/>
        <v>0</v>
      </c>
      <c r="H58" s="34">
        <f t="shared" si="14"/>
        <v>0</v>
      </c>
      <c r="I58" s="34">
        <f t="shared" si="15"/>
        <v>0</v>
      </c>
      <c r="J58" s="37"/>
      <c r="K58" s="34"/>
      <c r="L58" s="30"/>
      <c r="M58" s="30"/>
      <c r="N58" s="30"/>
      <c r="O58" s="30"/>
      <c r="P58" s="30"/>
      <c r="Q58" s="30"/>
      <c r="R58" s="30"/>
      <c r="S58" s="33">
        <f t="shared" si="13"/>
        <v>0</v>
      </c>
    </row>
    <row r="59" spans="1:19" ht="13.2" x14ac:dyDescent="0.25">
      <c r="D59" s="32">
        <v>18</v>
      </c>
      <c r="E59" s="27">
        <f t="shared" si="10"/>
        <v>0.58510238866633801</v>
      </c>
      <c r="F59" s="28">
        <f t="shared" si="11"/>
        <v>2.0758702640685058</v>
      </c>
      <c r="G59" s="29">
        <f t="shared" si="12"/>
        <v>0</v>
      </c>
      <c r="H59" s="34">
        <f t="shared" si="14"/>
        <v>0</v>
      </c>
      <c r="I59" s="34">
        <f t="shared" si="15"/>
        <v>0</v>
      </c>
      <c r="J59" s="37"/>
      <c r="K59" s="34"/>
      <c r="L59" s="30"/>
      <c r="M59" s="30"/>
      <c r="N59" s="30"/>
      <c r="O59" s="30"/>
      <c r="P59" s="30"/>
      <c r="Q59" s="30"/>
      <c r="R59" s="30"/>
      <c r="S59" s="33">
        <f t="shared" si="13"/>
        <v>0</v>
      </c>
    </row>
    <row r="60" spans="1:19" ht="13.2" x14ac:dyDescent="0.25">
      <c r="D60" s="32">
        <v>19</v>
      </c>
      <c r="E60" s="27">
        <f t="shared" si="10"/>
        <v>0.61760807692557906</v>
      </c>
      <c r="F60" s="28">
        <f t="shared" si="11"/>
        <v>2.1911963898500892</v>
      </c>
      <c r="G60" s="29">
        <f t="shared" si="12"/>
        <v>0</v>
      </c>
      <c r="H60" s="34">
        <f t="shared" si="14"/>
        <v>0</v>
      </c>
      <c r="I60" s="34">
        <f t="shared" si="15"/>
        <v>0</v>
      </c>
      <c r="J60" s="37"/>
      <c r="K60" s="34"/>
      <c r="L60" s="30"/>
      <c r="M60" s="30"/>
      <c r="N60" s="30"/>
      <c r="O60" s="30"/>
      <c r="P60" s="30"/>
      <c r="Q60" s="30"/>
      <c r="R60" s="30"/>
      <c r="S60" s="33">
        <f t="shared" si="13"/>
        <v>0</v>
      </c>
    </row>
    <row r="61" spans="1:19" ht="13.2" x14ac:dyDescent="0.25">
      <c r="D61" s="32">
        <v>20</v>
      </c>
      <c r="E61" s="27">
        <f t="shared" si="10"/>
        <v>0.65011376518482</v>
      </c>
      <c r="F61" s="28">
        <f t="shared" si="11"/>
        <v>2.3065225156316731</v>
      </c>
      <c r="G61" s="29">
        <f t="shared" si="12"/>
        <v>0</v>
      </c>
      <c r="H61" s="34">
        <f t="shared" si="14"/>
        <v>0</v>
      </c>
      <c r="I61" s="34">
        <f t="shared" si="15"/>
        <v>0</v>
      </c>
      <c r="J61" s="37"/>
      <c r="K61" s="34"/>
      <c r="L61" s="37"/>
      <c r="M61" s="30"/>
      <c r="N61" s="30"/>
      <c r="O61" s="30"/>
      <c r="P61" s="30"/>
      <c r="Q61" s="30"/>
      <c r="R61" s="30"/>
      <c r="S61" s="33">
        <f t="shared" si="13"/>
        <v>0</v>
      </c>
    </row>
    <row r="62" spans="1:19" ht="13.2" x14ac:dyDescent="0.25">
      <c r="D62" s="32">
        <v>21</v>
      </c>
      <c r="E62" s="27">
        <f t="shared" si="10"/>
        <v>0.68261945344406105</v>
      </c>
      <c r="F62" s="28">
        <f t="shared" si="11"/>
        <v>2.4218486414132565</v>
      </c>
      <c r="G62" s="29">
        <f t="shared" si="12"/>
        <v>0</v>
      </c>
      <c r="H62" s="34">
        <f t="shared" si="14"/>
        <v>0</v>
      </c>
      <c r="I62" s="34">
        <f t="shared" si="15"/>
        <v>0</v>
      </c>
      <c r="J62" s="37"/>
      <c r="K62" s="34"/>
      <c r="L62" s="37"/>
      <c r="M62" s="30"/>
      <c r="N62" s="30"/>
      <c r="O62" s="30"/>
      <c r="P62" s="30"/>
      <c r="Q62" s="30"/>
      <c r="R62" s="30"/>
      <c r="S62" s="33">
        <f t="shared" si="13"/>
        <v>0</v>
      </c>
    </row>
    <row r="63" spans="1:19" ht="13.2" x14ac:dyDescent="0.25">
      <c r="D63" s="32">
        <v>22</v>
      </c>
      <c r="E63" s="27">
        <f t="shared" si="10"/>
        <v>0.71512514170330199</v>
      </c>
      <c r="F63" s="28">
        <f t="shared" si="11"/>
        <v>2.5371747671948399</v>
      </c>
      <c r="G63" s="29">
        <f t="shared" si="12"/>
        <v>0</v>
      </c>
      <c r="H63" s="34">
        <f t="shared" si="14"/>
        <v>0</v>
      </c>
      <c r="I63" s="34">
        <f t="shared" si="15"/>
        <v>0</v>
      </c>
      <c r="J63" s="37"/>
      <c r="K63" s="34"/>
      <c r="L63" s="37"/>
      <c r="M63" s="30"/>
      <c r="N63" s="30"/>
      <c r="O63" s="30"/>
      <c r="P63" s="30"/>
      <c r="Q63" s="30"/>
      <c r="R63" s="30"/>
      <c r="S63" s="33">
        <f t="shared" si="13"/>
        <v>0</v>
      </c>
    </row>
    <row r="64" spans="1:19" ht="13.2" x14ac:dyDescent="0.25">
      <c r="D64" s="32">
        <v>23</v>
      </c>
      <c r="E64" s="27">
        <f t="shared" si="10"/>
        <v>0.74763082996254304</v>
      </c>
      <c r="F64" s="28">
        <f t="shared" si="11"/>
        <v>2.6525008929764238</v>
      </c>
      <c r="G64" s="29">
        <f t="shared" si="12"/>
        <v>0</v>
      </c>
      <c r="H64" s="34">
        <f t="shared" si="14"/>
        <v>0</v>
      </c>
      <c r="I64" s="34">
        <f t="shared" si="15"/>
        <v>0</v>
      </c>
      <c r="J64" s="37"/>
      <c r="K64" s="34"/>
      <c r="L64" s="37"/>
      <c r="M64" s="30"/>
      <c r="N64" s="30"/>
      <c r="O64" s="30"/>
      <c r="P64" s="30"/>
      <c r="Q64" s="30"/>
      <c r="R64" s="30"/>
      <c r="S64" s="33">
        <f t="shared" si="13"/>
        <v>0</v>
      </c>
    </row>
    <row r="65" spans="4:19" ht="13.2" x14ac:dyDescent="0.25">
      <c r="D65" s="32">
        <v>24</v>
      </c>
      <c r="E65" s="27">
        <f t="shared" si="10"/>
        <v>0.78013651822178409</v>
      </c>
      <c r="F65" s="28">
        <f t="shared" si="11"/>
        <v>2.7678270187580076</v>
      </c>
      <c r="G65" s="29">
        <f t="shared" si="12"/>
        <v>0</v>
      </c>
      <c r="H65" s="34">
        <f t="shared" si="14"/>
        <v>0</v>
      </c>
      <c r="I65" s="34">
        <f t="shared" si="15"/>
        <v>0</v>
      </c>
      <c r="J65" s="37">
        <f t="shared" ref="J65:J165" si="16">F41*$S$9</f>
        <v>0</v>
      </c>
      <c r="K65" s="34"/>
      <c r="L65" s="37"/>
      <c r="M65" s="34"/>
      <c r="N65" s="30"/>
      <c r="O65" s="30"/>
      <c r="P65" s="30"/>
      <c r="Q65" s="30"/>
      <c r="R65" s="30"/>
      <c r="S65" s="33">
        <f t="shared" si="13"/>
        <v>0</v>
      </c>
    </row>
    <row r="66" spans="4:19" ht="13.2" x14ac:dyDescent="0.25">
      <c r="D66" s="32">
        <v>25</v>
      </c>
      <c r="E66" s="27">
        <f t="shared" si="10"/>
        <v>0.81264220648102503</v>
      </c>
      <c r="F66" s="28">
        <f t="shared" si="11"/>
        <v>2.883153144539591</v>
      </c>
      <c r="G66" s="29">
        <f t="shared" si="12"/>
        <v>0</v>
      </c>
      <c r="H66" s="34">
        <f t="shared" si="14"/>
        <v>0</v>
      </c>
      <c r="I66" s="34">
        <f t="shared" si="15"/>
        <v>0</v>
      </c>
      <c r="J66" s="37">
        <f t="shared" si="16"/>
        <v>2.8049132134588877E-3</v>
      </c>
      <c r="K66" s="34"/>
      <c r="L66" s="37"/>
      <c r="M66" s="34"/>
      <c r="N66" s="30"/>
      <c r="O66" s="30"/>
      <c r="P66" s="30"/>
      <c r="Q66" s="30"/>
      <c r="R66" s="30"/>
      <c r="S66" s="33">
        <f t="shared" si="13"/>
        <v>2.8049132134588877E-3</v>
      </c>
    </row>
    <row r="67" spans="4:19" ht="13.2" x14ac:dyDescent="0.25">
      <c r="D67" s="32">
        <v>26</v>
      </c>
      <c r="E67" s="27">
        <f t="shared" si="10"/>
        <v>0.84514789474026608</v>
      </c>
      <c r="F67" s="28">
        <f t="shared" si="11"/>
        <v>2.9984792703211749</v>
      </c>
      <c r="G67" s="29">
        <f t="shared" si="12"/>
        <v>0</v>
      </c>
      <c r="H67" s="34">
        <f t="shared" si="14"/>
        <v>0</v>
      </c>
      <c r="I67" s="34">
        <f t="shared" si="15"/>
        <v>0</v>
      </c>
      <c r="J67" s="37">
        <f t="shared" si="16"/>
        <v>5.6098264269177755E-3</v>
      </c>
      <c r="K67" s="34"/>
      <c r="L67" s="37"/>
      <c r="M67" s="34"/>
      <c r="N67" s="30"/>
      <c r="O67" s="30"/>
      <c r="P67" s="30"/>
      <c r="Q67" s="30"/>
      <c r="R67" s="30"/>
      <c r="S67" s="33">
        <f t="shared" si="13"/>
        <v>5.6098264269177755E-3</v>
      </c>
    </row>
    <row r="68" spans="4:19" ht="13.2" x14ac:dyDescent="0.25">
      <c r="D68" s="32">
        <v>27</v>
      </c>
      <c r="E68" s="27">
        <f t="shared" si="10"/>
        <v>0.87765358299950702</v>
      </c>
      <c r="F68" s="28">
        <f t="shared" si="11"/>
        <v>3.1138053961027583</v>
      </c>
      <c r="G68" s="29">
        <f t="shared" si="12"/>
        <v>0</v>
      </c>
      <c r="H68" s="34">
        <f t="shared" si="14"/>
        <v>0</v>
      </c>
      <c r="I68" s="34">
        <f t="shared" si="15"/>
        <v>0</v>
      </c>
      <c r="J68" s="37">
        <f t="shared" si="16"/>
        <v>8.4147396403766641E-3</v>
      </c>
      <c r="K68" s="34"/>
      <c r="L68" s="37"/>
      <c r="M68" s="34"/>
      <c r="N68" s="30"/>
      <c r="O68" s="30"/>
      <c r="P68" s="30"/>
      <c r="Q68" s="30"/>
      <c r="R68" s="30"/>
      <c r="S68" s="33">
        <f t="shared" si="13"/>
        <v>8.4147396403766641E-3</v>
      </c>
    </row>
    <row r="69" spans="4:19" ht="13.2" x14ac:dyDescent="0.25">
      <c r="D69" s="32">
        <v>28</v>
      </c>
      <c r="E69" s="27">
        <f t="shared" si="10"/>
        <v>0.91015927125874807</v>
      </c>
      <c r="F69" s="28">
        <f t="shared" si="11"/>
        <v>3.2291315218843422</v>
      </c>
      <c r="G69" s="29">
        <f t="shared" si="12"/>
        <v>0</v>
      </c>
      <c r="H69" s="34">
        <f t="shared" si="14"/>
        <v>0</v>
      </c>
      <c r="I69" s="34">
        <f t="shared" si="15"/>
        <v>0</v>
      </c>
      <c r="J69" s="37">
        <f t="shared" si="16"/>
        <v>1.1219652853835551E-2</v>
      </c>
      <c r="K69" s="34"/>
      <c r="L69" s="37"/>
      <c r="M69" s="34"/>
      <c r="N69" s="37"/>
      <c r="O69" s="30"/>
      <c r="P69" s="30"/>
      <c r="Q69" s="30"/>
      <c r="R69" s="30"/>
      <c r="S69" s="33">
        <f t="shared" si="13"/>
        <v>1.1219652853835551E-2</v>
      </c>
    </row>
    <row r="70" spans="4:19" ht="13.2" x14ac:dyDescent="0.25">
      <c r="D70" s="32">
        <v>29</v>
      </c>
      <c r="E70" s="27">
        <f t="shared" si="10"/>
        <v>0.94266495951798901</v>
      </c>
      <c r="F70" s="28">
        <f t="shared" si="11"/>
        <v>3.3444576476659256</v>
      </c>
      <c r="G70" s="29">
        <f t="shared" si="12"/>
        <v>0</v>
      </c>
      <c r="H70" s="34">
        <f t="shared" si="14"/>
        <v>0</v>
      </c>
      <c r="I70" s="34">
        <f t="shared" si="15"/>
        <v>0</v>
      </c>
      <c r="J70" s="37">
        <f t="shared" si="16"/>
        <v>1.4024566067294441E-2</v>
      </c>
      <c r="K70" s="34"/>
      <c r="L70" s="37"/>
      <c r="M70" s="34"/>
      <c r="N70" s="37"/>
      <c r="O70" s="30"/>
      <c r="P70" s="30"/>
      <c r="Q70" s="30"/>
      <c r="R70" s="30"/>
      <c r="S70" s="33">
        <f t="shared" si="13"/>
        <v>1.4024566067294441E-2</v>
      </c>
    </row>
    <row r="71" spans="4:19" ht="13.2" x14ac:dyDescent="0.25">
      <c r="D71" s="32">
        <v>30</v>
      </c>
      <c r="E71" s="27">
        <f t="shared" si="10"/>
        <v>0.97517064777723006</v>
      </c>
      <c r="F71" s="28">
        <f t="shared" si="11"/>
        <v>3.4597837734475094</v>
      </c>
      <c r="G71" s="29">
        <f t="shared" si="12"/>
        <v>0</v>
      </c>
      <c r="H71" s="34">
        <f t="shared" si="14"/>
        <v>0</v>
      </c>
      <c r="I71" s="34">
        <f t="shared" si="15"/>
        <v>0</v>
      </c>
      <c r="J71" s="37">
        <f t="shared" si="16"/>
        <v>1.6829479280753328E-2</v>
      </c>
      <c r="K71" s="34"/>
      <c r="L71" s="37"/>
      <c r="M71" s="34"/>
      <c r="N71" s="37"/>
      <c r="O71" s="30"/>
      <c r="P71" s="30"/>
      <c r="Q71" s="30"/>
      <c r="R71" s="30"/>
      <c r="S71" s="33">
        <f t="shared" si="13"/>
        <v>1.6829479280753328E-2</v>
      </c>
    </row>
    <row r="72" spans="4:19" ht="13.2" x14ac:dyDescent="0.25">
      <c r="D72" s="32">
        <v>31</v>
      </c>
      <c r="E72" s="27">
        <f t="shared" si="10"/>
        <v>1.0076763360364711</v>
      </c>
      <c r="F72" s="28">
        <f t="shared" si="11"/>
        <v>3.5751098992290933</v>
      </c>
      <c r="G72" s="29">
        <f t="shared" si="12"/>
        <v>0</v>
      </c>
      <c r="H72" s="34">
        <f t="shared" si="14"/>
        <v>0</v>
      </c>
      <c r="I72" s="34">
        <f t="shared" si="15"/>
        <v>0</v>
      </c>
      <c r="J72" s="37">
        <f t="shared" si="16"/>
        <v>1.9634392494212217E-2</v>
      </c>
      <c r="K72" s="34"/>
      <c r="L72" s="37"/>
      <c r="M72" s="34"/>
      <c r="N72" s="37"/>
      <c r="O72" s="30"/>
      <c r="P72" s="30"/>
      <c r="Q72" s="30"/>
      <c r="R72" s="30"/>
      <c r="S72" s="33">
        <f t="shared" si="13"/>
        <v>1.9634392494212217E-2</v>
      </c>
    </row>
    <row r="73" spans="4:19" ht="13.2" x14ac:dyDescent="0.25">
      <c r="D73" s="32">
        <v>32</v>
      </c>
      <c r="E73" s="27">
        <f t="shared" si="10"/>
        <v>1.040182024295712</v>
      </c>
      <c r="F73" s="28">
        <f t="shared" si="11"/>
        <v>3.6904360250106767</v>
      </c>
      <c r="G73" s="29">
        <f t="shared" si="12"/>
        <v>0</v>
      </c>
      <c r="H73" s="34">
        <f t="shared" si="14"/>
        <v>0</v>
      </c>
      <c r="I73" s="34">
        <f t="shared" si="15"/>
        <v>0</v>
      </c>
      <c r="J73" s="37">
        <f t="shared" si="16"/>
        <v>2.2439305707671102E-2</v>
      </c>
      <c r="K73" s="34">
        <f t="shared" ref="K73:K173" si="17">$S$10*F41</f>
        <v>0</v>
      </c>
      <c r="L73" s="37"/>
      <c r="M73" s="34"/>
      <c r="N73" s="37"/>
      <c r="O73" s="37"/>
      <c r="P73" s="30"/>
      <c r="Q73" s="30"/>
      <c r="R73" s="30"/>
      <c r="S73" s="33">
        <f t="shared" si="13"/>
        <v>2.2439305707671102E-2</v>
      </c>
    </row>
    <row r="74" spans="4:19" ht="13.2" x14ac:dyDescent="0.25">
      <c r="D74" s="32">
        <v>33</v>
      </c>
      <c r="E74" s="27">
        <f t="shared" si="10"/>
        <v>1.072687712554953</v>
      </c>
      <c r="F74" s="28">
        <f t="shared" si="11"/>
        <v>3.8057621507922601</v>
      </c>
      <c r="G74" s="29">
        <f t="shared" si="12"/>
        <v>0</v>
      </c>
      <c r="H74" s="34">
        <f t="shared" si="14"/>
        <v>0</v>
      </c>
      <c r="I74" s="34">
        <f t="shared" si="15"/>
        <v>0</v>
      </c>
      <c r="J74" s="37">
        <f t="shared" si="16"/>
        <v>2.5244218921129994E-2</v>
      </c>
      <c r="K74" s="34">
        <f t="shared" si="17"/>
        <v>8.2508107668007979E-2</v>
      </c>
      <c r="L74" s="37"/>
      <c r="M74" s="34"/>
      <c r="N74" s="37"/>
      <c r="O74" s="37"/>
      <c r="P74" s="30"/>
      <c r="Q74" s="30"/>
      <c r="R74" s="30"/>
      <c r="S74" s="33">
        <f t="shared" si="13"/>
        <v>0.10775232658913797</v>
      </c>
    </row>
    <row r="75" spans="4:19" ht="13.2" x14ac:dyDescent="0.25">
      <c r="D75" s="32">
        <v>34</v>
      </c>
      <c r="E75" s="27">
        <f t="shared" si="10"/>
        <v>1.1051934008141941</v>
      </c>
      <c r="F75" s="28">
        <f t="shared" si="11"/>
        <v>3.9210882765738444</v>
      </c>
      <c r="G75" s="29">
        <f t="shared" si="12"/>
        <v>0</v>
      </c>
      <c r="H75" s="34">
        <f t="shared" si="14"/>
        <v>0</v>
      </c>
      <c r="I75" s="34">
        <f t="shared" si="15"/>
        <v>0</v>
      </c>
      <c r="J75" s="37">
        <f t="shared" si="16"/>
        <v>2.8049132134588883E-2</v>
      </c>
      <c r="K75" s="34">
        <f t="shared" si="17"/>
        <v>0.16501621533601596</v>
      </c>
      <c r="L75" s="37"/>
      <c r="M75" s="34"/>
      <c r="N75" s="37"/>
      <c r="O75" s="37"/>
      <c r="P75" s="30"/>
      <c r="Q75" s="30"/>
      <c r="R75" s="30"/>
      <c r="S75" s="33">
        <f t="shared" si="13"/>
        <v>0.19306534747060483</v>
      </c>
    </row>
    <row r="76" spans="4:19" ht="13.2" x14ac:dyDescent="0.25">
      <c r="D76" s="32">
        <v>35</v>
      </c>
      <c r="E76" s="27">
        <f t="shared" si="10"/>
        <v>1.1376990890734351</v>
      </c>
      <c r="F76" s="28">
        <f t="shared" si="11"/>
        <v>4.0364144023554278</v>
      </c>
      <c r="G76" s="29">
        <f t="shared" si="12"/>
        <v>0</v>
      </c>
      <c r="H76" s="34">
        <f t="shared" si="14"/>
        <v>0</v>
      </c>
      <c r="I76" s="34">
        <f t="shared" si="15"/>
        <v>0</v>
      </c>
      <c r="J76" s="37">
        <f t="shared" si="16"/>
        <v>3.0854045348047764E-2</v>
      </c>
      <c r="K76" s="34">
        <f t="shared" si="17"/>
        <v>0.24752432300402397</v>
      </c>
      <c r="L76" s="37"/>
      <c r="M76" s="34"/>
      <c r="N76" s="37"/>
      <c r="O76" s="37"/>
      <c r="P76" s="30"/>
      <c r="Q76" s="30"/>
      <c r="R76" s="30"/>
      <c r="S76" s="33">
        <f t="shared" si="13"/>
        <v>0.27837836835207175</v>
      </c>
    </row>
    <row r="77" spans="4:19" ht="13.2" x14ac:dyDescent="0.25">
      <c r="D77" s="32">
        <v>36</v>
      </c>
      <c r="E77" s="27">
        <f t="shared" si="10"/>
        <v>1.170204777332676</v>
      </c>
      <c r="F77" s="28">
        <f t="shared" si="11"/>
        <v>4.1517405281370117</v>
      </c>
      <c r="G77" s="29">
        <f t="shared" si="12"/>
        <v>0</v>
      </c>
      <c r="H77" s="34">
        <f t="shared" si="14"/>
        <v>0</v>
      </c>
      <c r="I77" s="34">
        <f t="shared" si="15"/>
        <v>0</v>
      </c>
      <c r="J77" s="37">
        <f t="shared" si="16"/>
        <v>3.3658958561506656E-2</v>
      </c>
      <c r="K77" s="34">
        <f t="shared" si="17"/>
        <v>0.33003243067203192</v>
      </c>
      <c r="L77" s="37"/>
      <c r="M77" s="34"/>
      <c r="N77" s="37"/>
      <c r="O77" s="37"/>
      <c r="P77" s="34"/>
      <c r="Q77" s="30"/>
      <c r="R77" s="30"/>
      <c r="S77" s="33">
        <f t="shared" si="13"/>
        <v>0.36369138923353855</v>
      </c>
    </row>
    <row r="78" spans="4:19" ht="13.2" x14ac:dyDescent="0.25">
      <c r="D78" s="32">
        <v>37</v>
      </c>
      <c r="E78" s="27">
        <f t="shared" si="10"/>
        <v>1.202710465591917</v>
      </c>
      <c r="F78" s="28">
        <f t="shared" si="11"/>
        <v>4.2670666539185946</v>
      </c>
      <c r="G78" s="29">
        <f t="shared" si="12"/>
        <v>0</v>
      </c>
      <c r="H78" s="34">
        <f t="shared" si="14"/>
        <v>0</v>
      </c>
      <c r="I78" s="34">
        <f t="shared" si="15"/>
        <v>0</v>
      </c>
      <c r="J78" s="37">
        <f t="shared" si="16"/>
        <v>3.6463871774965545E-2</v>
      </c>
      <c r="K78" s="34">
        <f t="shared" si="17"/>
        <v>0.41254053834003995</v>
      </c>
      <c r="L78" s="37"/>
      <c r="M78" s="34"/>
      <c r="N78" s="37"/>
      <c r="O78" s="37"/>
      <c r="P78" s="34"/>
      <c r="Q78" s="30"/>
      <c r="R78" s="30"/>
      <c r="S78" s="33">
        <f t="shared" si="13"/>
        <v>0.44900441011500547</v>
      </c>
    </row>
    <row r="79" spans="4:19" ht="13.2" x14ac:dyDescent="0.25">
      <c r="D79" s="32">
        <v>38</v>
      </c>
      <c r="E79" s="27">
        <f t="shared" si="10"/>
        <v>1.2352161538511581</v>
      </c>
      <c r="F79" s="28">
        <f t="shared" si="11"/>
        <v>4.3086393052482421</v>
      </c>
      <c r="G79" s="29">
        <f t="shared" si="12"/>
        <v>0</v>
      </c>
      <c r="H79" s="34">
        <f t="shared" si="14"/>
        <v>0</v>
      </c>
      <c r="I79" s="34">
        <f t="shared" si="15"/>
        <v>0</v>
      </c>
      <c r="J79" s="37">
        <f t="shared" si="16"/>
        <v>3.9268784988424434E-2</v>
      </c>
      <c r="K79" s="34">
        <f t="shared" si="17"/>
        <v>0.49504864600804793</v>
      </c>
      <c r="L79" s="37"/>
      <c r="M79" s="34"/>
      <c r="N79" s="37"/>
      <c r="O79" s="37"/>
      <c r="P79" s="34"/>
      <c r="Q79" s="30"/>
      <c r="R79" s="30"/>
      <c r="S79" s="33">
        <f t="shared" si="13"/>
        <v>0.53431743099647233</v>
      </c>
    </row>
    <row r="80" spans="4:19" ht="13.2" x14ac:dyDescent="0.25">
      <c r="D80" s="32">
        <v>39</v>
      </c>
      <c r="E80" s="27">
        <f t="shared" si="10"/>
        <v>1.2677218421103991</v>
      </c>
      <c r="F80" s="28">
        <f t="shared" si="11"/>
        <v>4.2395817448999891</v>
      </c>
      <c r="G80" s="29">
        <f t="shared" si="12"/>
        <v>0</v>
      </c>
      <c r="H80" s="34">
        <f t="shared" si="14"/>
        <v>0</v>
      </c>
      <c r="I80" s="34">
        <f t="shared" si="15"/>
        <v>0</v>
      </c>
      <c r="J80" s="37">
        <f t="shared" si="16"/>
        <v>4.2073698201883322E-2</v>
      </c>
      <c r="K80" s="34">
        <f t="shared" si="17"/>
        <v>0.57755675367605586</v>
      </c>
      <c r="L80" s="37"/>
      <c r="M80" s="34"/>
      <c r="N80" s="37"/>
      <c r="O80" s="37"/>
      <c r="P80" s="34"/>
      <c r="Q80" s="30"/>
      <c r="R80" s="30"/>
      <c r="S80" s="33">
        <f t="shared" si="13"/>
        <v>0.61963045187793919</v>
      </c>
    </row>
    <row r="81" spans="4:19" ht="13.2" x14ac:dyDescent="0.25">
      <c r="D81" s="32">
        <v>40</v>
      </c>
      <c r="E81" s="27">
        <f t="shared" si="10"/>
        <v>1.30022753036964</v>
      </c>
      <c r="F81" s="28">
        <f t="shared" si="11"/>
        <v>4.170524184551736</v>
      </c>
      <c r="G81" s="29">
        <f t="shared" si="12"/>
        <v>0</v>
      </c>
      <c r="H81" s="34">
        <f t="shared" si="14"/>
        <v>0</v>
      </c>
      <c r="I81" s="34">
        <f t="shared" si="15"/>
        <v>0</v>
      </c>
      <c r="J81" s="37">
        <f t="shared" si="16"/>
        <v>4.4878611415342204E-2</v>
      </c>
      <c r="K81" s="34">
        <f t="shared" si="17"/>
        <v>0.66006486134406384</v>
      </c>
      <c r="L81" s="37">
        <f t="shared" ref="L81:L181" si="18">F41*$S$11</f>
        <v>0</v>
      </c>
      <c r="M81" s="34"/>
      <c r="N81" s="37"/>
      <c r="O81" s="37"/>
      <c r="P81" s="34"/>
      <c r="Q81" s="37"/>
      <c r="R81" s="30"/>
      <c r="S81" s="33">
        <f t="shared" si="13"/>
        <v>0.70494347275940605</v>
      </c>
    </row>
    <row r="82" spans="4:19" ht="13.2" x14ac:dyDescent="0.25">
      <c r="D82" s="32">
        <v>41</v>
      </c>
      <c r="E82" s="27">
        <f t="shared" si="10"/>
        <v>1.3327332186288812</v>
      </c>
      <c r="F82" s="28">
        <f t="shared" si="11"/>
        <v>4.1014666242034821</v>
      </c>
      <c r="G82" s="29">
        <f t="shared" si="12"/>
        <v>0</v>
      </c>
      <c r="H82" s="34">
        <f t="shared" si="14"/>
        <v>0</v>
      </c>
      <c r="I82" s="34">
        <f t="shared" si="15"/>
        <v>0</v>
      </c>
      <c r="J82" s="37">
        <f t="shared" si="16"/>
        <v>4.7683524628801099E-2</v>
      </c>
      <c r="K82" s="34">
        <f t="shared" si="17"/>
        <v>0.74257296901207193</v>
      </c>
      <c r="L82" s="37">
        <f t="shared" si="18"/>
        <v>0.33665260574555556</v>
      </c>
      <c r="M82" s="34"/>
      <c r="N82" s="37"/>
      <c r="O82" s="37"/>
      <c r="P82" s="34"/>
      <c r="Q82" s="37"/>
      <c r="R82" s="30"/>
      <c r="S82" s="33">
        <f t="shared" si="13"/>
        <v>1.1269090993864286</v>
      </c>
    </row>
    <row r="83" spans="4:19" ht="13.2" x14ac:dyDescent="0.25">
      <c r="D83" s="32">
        <v>42</v>
      </c>
      <c r="E83" s="27">
        <f t="shared" si="10"/>
        <v>1.3652389068881221</v>
      </c>
      <c r="F83" s="28">
        <f t="shared" si="11"/>
        <v>4.0324090638552281</v>
      </c>
      <c r="G83" s="29">
        <f t="shared" si="12"/>
        <v>0</v>
      </c>
      <c r="H83" s="34">
        <f t="shared" si="14"/>
        <v>0</v>
      </c>
      <c r="I83" s="34">
        <f t="shared" si="15"/>
        <v>0</v>
      </c>
      <c r="J83" s="37">
        <f t="shared" si="16"/>
        <v>5.0488437842259988E-2</v>
      </c>
      <c r="K83" s="34">
        <f t="shared" si="17"/>
        <v>0.82508107668007991</v>
      </c>
      <c r="L83" s="37">
        <f t="shared" si="18"/>
        <v>0.67330521149111111</v>
      </c>
      <c r="M83" s="34"/>
      <c r="N83" s="37"/>
      <c r="O83" s="37"/>
      <c r="P83" s="34"/>
      <c r="Q83" s="37"/>
      <c r="R83" s="30"/>
      <c r="S83" s="33">
        <f t="shared" si="13"/>
        <v>1.548874726013451</v>
      </c>
    </row>
    <row r="84" spans="4:19" ht="13.2" x14ac:dyDescent="0.25">
      <c r="D84" s="32">
        <v>43</v>
      </c>
      <c r="E84" s="27">
        <f t="shared" si="10"/>
        <v>1.397744595147363</v>
      </c>
      <c r="F84" s="28">
        <f t="shared" si="11"/>
        <v>3.9633515035069742</v>
      </c>
      <c r="G84" s="29">
        <f t="shared" si="12"/>
        <v>0</v>
      </c>
      <c r="H84" s="34">
        <f t="shared" si="14"/>
        <v>0</v>
      </c>
      <c r="I84" s="34">
        <f t="shared" si="15"/>
        <v>0</v>
      </c>
      <c r="J84" s="37">
        <f t="shared" si="16"/>
        <v>5.329335105571887E-2</v>
      </c>
      <c r="K84" s="34">
        <f t="shared" si="17"/>
        <v>0.90758918434808766</v>
      </c>
      <c r="L84" s="37">
        <f t="shared" si="18"/>
        <v>1.0099578172366668</v>
      </c>
      <c r="M84" s="34"/>
      <c r="N84" s="37"/>
      <c r="O84" s="37"/>
      <c r="P84" s="34"/>
      <c r="Q84" s="37"/>
      <c r="R84" s="30"/>
      <c r="S84" s="33">
        <f t="shared" si="13"/>
        <v>1.9708403526404732</v>
      </c>
    </row>
    <row r="85" spans="4:19" ht="13.2" x14ac:dyDescent="0.25">
      <c r="D85" s="32">
        <v>44</v>
      </c>
      <c r="E85" s="27">
        <f t="shared" si="10"/>
        <v>1.430250283406604</v>
      </c>
      <c r="F85" s="28">
        <f t="shared" si="11"/>
        <v>3.8942939431587207</v>
      </c>
      <c r="G85" s="29">
        <f t="shared" si="12"/>
        <v>0</v>
      </c>
      <c r="H85" s="34">
        <f t="shared" si="14"/>
        <v>0</v>
      </c>
      <c r="I85" s="34">
        <f t="shared" si="15"/>
        <v>0</v>
      </c>
      <c r="J85" s="37">
        <f t="shared" si="16"/>
        <v>5.6098264269177765E-2</v>
      </c>
      <c r="K85" s="34">
        <f t="shared" si="17"/>
        <v>0.99009729201609586</v>
      </c>
      <c r="L85" s="37">
        <f t="shared" si="18"/>
        <v>1.3466104229822222</v>
      </c>
      <c r="M85" s="34"/>
      <c r="N85" s="37"/>
      <c r="O85" s="37"/>
      <c r="P85" s="34"/>
      <c r="Q85" s="37"/>
      <c r="R85" s="37"/>
      <c r="S85" s="33">
        <f t="shared" si="13"/>
        <v>2.3928059792674956</v>
      </c>
    </row>
    <row r="86" spans="4:19" ht="13.2" x14ac:dyDescent="0.25">
      <c r="D86" s="32">
        <v>45</v>
      </c>
      <c r="E86" s="27">
        <f t="shared" si="10"/>
        <v>1.4627559716658451</v>
      </c>
      <c r="F86" s="28">
        <f t="shared" si="11"/>
        <v>3.8252363828104667</v>
      </c>
      <c r="G86" s="29">
        <f t="shared" si="12"/>
        <v>0</v>
      </c>
      <c r="H86" s="34">
        <f t="shared" si="14"/>
        <v>0</v>
      </c>
      <c r="I86" s="34">
        <f t="shared" si="15"/>
        <v>0</v>
      </c>
      <c r="J86" s="37">
        <f t="shared" si="16"/>
        <v>5.8903177482636647E-2</v>
      </c>
      <c r="K86" s="34">
        <f t="shared" si="17"/>
        <v>1.0726053996841038</v>
      </c>
      <c r="L86" s="37">
        <f t="shared" si="18"/>
        <v>1.6832630287277779</v>
      </c>
      <c r="M86" s="34"/>
      <c r="N86" s="37"/>
      <c r="O86" s="37"/>
      <c r="P86" s="34"/>
      <c r="Q86" s="37"/>
      <c r="R86" s="37"/>
      <c r="S86" s="33">
        <f t="shared" si="13"/>
        <v>2.8147716058945185</v>
      </c>
    </row>
    <row r="87" spans="4:19" ht="13.2" x14ac:dyDescent="0.25">
      <c r="D87" s="32">
        <v>46</v>
      </c>
      <c r="E87" s="27">
        <f t="shared" si="10"/>
        <v>1.4952616599250861</v>
      </c>
      <c r="F87" s="28">
        <f t="shared" si="11"/>
        <v>3.7561788224622132</v>
      </c>
      <c r="G87" s="29">
        <f t="shared" si="12"/>
        <v>0</v>
      </c>
      <c r="H87" s="34">
        <f t="shared" si="14"/>
        <v>0</v>
      </c>
      <c r="I87" s="34">
        <f t="shared" si="15"/>
        <v>0</v>
      </c>
      <c r="J87" s="37">
        <f t="shared" si="16"/>
        <v>6.1708090696095529E-2</v>
      </c>
      <c r="K87" s="34">
        <f t="shared" si="17"/>
        <v>1.1551135073521117</v>
      </c>
      <c r="L87" s="37">
        <f t="shared" si="18"/>
        <v>2.0199156344733336</v>
      </c>
      <c r="M87" s="34"/>
      <c r="N87" s="37"/>
      <c r="O87" s="37"/>
      <c r="P87" s="34"/>
      <c r="Q87" s="37"/>
      <c r="R87" s="37"/>
      <c r="S87" s="33">
        <f t="shared" si="13"/>
        <v>3.2367372325215409</v>
      </c>
    </row>
    <row r="88" spans="4:19" ht="13.2" x14ac:dyDescent="0.25">
      <c r="D88" s="32">
        <v>47</v>
      </c>
      <c r="E88" s="27">
        <f t="shared" si="10"/>
        <v>1.527767348184327</v>
      </c>
      <c r="F88" s="28">
        <f t="shared" si="11"/>
        <v>3.6871212621139597</v>
      </c>
      <c r="G88" s="29">
        <f t="shared" si="12"/>
        <v>0</v>
      </c>
      <c r="H88" s="34">
        <f t="shared" si="14"/>
        <v>0</v>
      </c>
      <c r="I88" s="34">
        <f t="shared" si="15"/>
        <v>0</v>
      </c>
      <c r="J88" s="37">
        <f t="shared" si="16"/>
        <v>6.4513003909554417E-2</v>
      </c>
      <c r="K88" s="34">
        <f t="shared" si="17"/>
        <v>1.2376216150201198</v>
      </c>
      <c r="L88" s="37">
        <f t="shared" si="18"/>
        <v>2.356568240218889</v>
      </c>
      <c r="M88" s="34"/>
      <c r="N88" s="37"/>
      <c r="O88" s="37"/>
      <c r="P88" s="34"/>
      <c r="Q88" s="37"/>
      <c r="R88" s="37"/>
      <c r="S88" s="33">
        <f t="shared" si="13"/>
        <v>3.6587028591485633</v>
      </c>
    </row>
    <row r="89" spans="4:19" ht="13.2" x14ac:dyDescent="0.25">
      <c r="D89" s="32">
        <v>48</v>
      </c>
      <c r="E89" s="27">
        <f t="shared" si="10"/>
        <v>1.5602730364435682</v>
      </c>
      <c r="F89" s="28">
        <f t="shared" si="11"/>
        <v>3.6180637017657058</v>
      </c>
      <c r="G89" s="29">
        <f t="shared" si="12"/>
        <v>0</v>
      </c>
      <c r="H89" s="34">
        <f t="shared" si="14"/>
        <v>0</v>
      </c>
      <c r="I89" s="34">
        <f t="shared" si="15"/>
        <v>0</v>
      </c>
      <c r="J89" s="37">
        <f t="shared" si="16"/>
        <v>6.7317917123013313E-2</v>
      </c>
      <c r="K89" s="34">
        <f t="shared" si="17"/>
        <v>1.3201297226881277</v>
      </c>
      <c r="L89" s="37">
        <f t="shared" si="18"/>
        <v>2.6932208459644444</v>
      </c>
      <c r="M89" s="34">
        <f t="shared" ref="M89:M189" si="19">$S$12*F41</f>
        <v>0</v>
      </c>
      <c r="N89" s="37"/>
      <c r="O89" s="37"/>
      <c r="P89" s="34"/>
      <c r="Q89" s="37"/>
      <c r="R89" s="37"/>
      <c r="S89" s="33">
        <f t="shared" si="13"/>
        <v>4.0806684857755853</v>
      </c>
    </row>
    <row r="90" spans="4:19" ht="13.2" x14ac:dyDescent="0.25">
      <c r="D90" s="32">
        <v>49</v>
      </c>
      <c r="E90" s="27">
        <f t="shared" si="10"/>
        <v>1.5927787247028091</v>
      </c>
      <c r="F90" s="28">
        <f t="shared" si="11"/>
        <v>3.5490061414174519</v>
      </c>
      <c r="G90" s="29">
        <f t="shared" si="12"/>
        <v>0</v>
      </c>
      <c r="H90" s="34">
        <f t="shared" si="14"/>
        <v>0</v>
      </c>
      <c r="I90" s="34">
        <f t="shared" si="15"/>
        <v>0</v>
      </c>
      <c r="J90" s="37">
        <f t="shared" si="16"/>
        <v>7.0122830336472194E-2</v>
      </c>
      <c r="K90" s="34">
        <f t="shared" si="17"/>
        <v>1.4026378303561358</v>
      </c>
      <c r="L90" s="37">
        <f t="shared" si="18"/>
        <v>3.0298734517100003</v>
      </c>
      <c r="M90" s="34">
        <f t="shared" si="19"/>
        <v>1.502449379263151</v>
      </c>
      <c r="N90" s="37"/>
      <c r="O90" s="37"/>
      <c r="P90" s="34"/>
      <c r="Q90" s="37"/>
      <c r="R90" s="37"/>
      <c r="S90" s="33">
        <f t="shared" si="13"/>
        <v>6.0050834916657596</v>
      </c>
    </row>
    <row r="91" spans="4:19" ht="13.2" x14ac:dyDescent="0.25">
      <c r="D91" s="32">
        <v>50</v>
      </c>
      <c r="E91" s="27">
        <f t="shared" si="10"/>
        <v>1.6252844129620501</v>
      </c>
      <c r="F91" s="28">
        <f t="shared" si="11"/>
        <v>3.4799485810691984</v>
      </c>
      <c r="G91" s="29">
        <f t="shared" si="12"/>
        <v>0</v>
      </c>
      <c r="H91" s="34">
        <f t="shared" si="14"/>
        <v>0</v>
      </c>
      <c r="I91" s="34">
        <f t="shared" si="15"/>
        <v>0</v>
      </c>
      <c r="J91" s="37">
        <f t="shared" si="16"/>
        <v>7.292774354993109E-2</v>
      </c>
      <c r="K91" s="34">
        <f t="shared" si="17"/>
        <v>1.4851459380241439</v>
      </c>
      <c r="L91" s="37">
        <f t="shared" si="18"/>
        <v>3.3665260574555558</v>
      </c>
      <c r="M91" s="34">
        <f t="shared" si="19"/>
        <v>3.0048987585263021</v>
      </c>
      <c r="N91" s="37"/>
      <c r="O91" s="37"/>
      <c r="P91" s="34"/>
      <c r="Q91" s="37"/>
      <c r="R91" s="37"/>
      <c r="S91" s="33">
        <f t="shared" si="13"/>
        <v>7.9294984975559331</v>
      </c>
    </row>
    <row r="92" spans="4:19" ht="13.2" x14ac:dyDescent="0.25">
      <c r="D92" s="32">
        <v>51</v>
      </c>
      <c r="E92" s="27">
        <f t="shared" si="10"/>
        <v>1.657790101221291</v>
      </c>
      <c r="F92" s="28">
        <f t="shared" si="11"/>
        <v>3.4108910207209449</v>
      </c>
      <c r="G92" s="29">
        <f t="shared" si="12"/>
        <v>0</v>
      </c>
      <c r="H92" s="34">
        <f t="shared" si="14"/>
        <v>0</v>
      </c>
      <c r="I92" s="34">
        <f t="shared" si="15"/>
        <v>0</v>
      </c>
      <c r="J92" s="37">
        <f t="shared" si="16"/>
        <v>7.5732656763389972E-2</v>
      </c>
      <c r="K92" s="34">
        <f t="shared" si="17"/>
        <v>1.5676540456921517</v>
      </c>
      <c r="L92" s="37">
        <f t="shared" si="18"/>
        <v>3.7031786632011108</v>
      </c>
      <c r="M92" s="34">
        <f t="shared" si="19"/>
        <v>4.5073481377894531</v>
      </c>
      <c r="N92" s="37"/>
      <c r="O92" s="37"/>
      <c r="P92" s="34"/>
      <c r="Q92" s="37"/>
      <c r="R92" s="37"/>
      <c r="S92" s="33">
        <f t="shared" si="13"/>
        <v>9.8539135034461047</v>
      </c>
    </row>
    <row r="93" spans="4:19" ht="13.2" x14ac:dyDescent="0.25">
      <c r="D93" s="32">
        <v>52</v>
      </c>
      <c r="E93" s="27">
        <f t="shared" si="10"/>
        <v>1.6902957894805322</v>
      </c>
      <c r="F93" s="28">
        <f t="shared" si="11"/>
        <v>3.3418334603726909</v>
      </c>
      <c r="G93" s="29">
        <f t="shared" si="12"/>
        <v>0</v>
      </c>
      <c r="H93" s="34">
        <f t="shared" si="14"/>
        <v>0</v>
      </c>
      <c r="I93" s="34">
        <f t="shared" si="15"/>
        <v>0</v>
      </c>
      <c r="J93" s="37">
        <f t="shared" si="16"/>
        <v>7.8537569976848867E-2</v>
      </c>
      <c r="K93" s="34">
        <f t="shared" si="17"/>
        <v>1.6501621533601598</v>
      </c>
      <c r="L93" s="37">
        <f t="shared" si="18"/>
        <v>4.0398312689466671</v>
      </c>
      <c r="M93" s="34">
        <f t="shared" si="19"/>
        <v>6.0097975170526041</v>
      </c>
      <c r="N93" s="37"/>
      <c r="O93" s="37"/>
      <c r="P93" s="34"/>
      <c r="Q93" s="37"/>
      <c r="R93" s="37"/>
      <c r="S93" s="33">
        <f t="shared" si="13"/>
        <v>11.77832850933628</v>
      </c>
    </row>
    <row r="94" spans="4:19" ht="13.2" x14ac:dyDescent="0.25">
      <c r="D94" s="32">
        <v>53</v>
      </c>
      <c r="E94" s="27">
        <f t="shared" si="10"/>
        <v>1.7228014777397731</v>
      </c>
      <c r="F94" s="28">
        <f t="shared" si="11"/>
        <v>3.2727759000244374</v>
      </c>
      <c r="G94" s="29">
        <f t="shared" si="12"/>
        <v>0</v>
      </c>
      <c r="H94" s="34">
        <f t="shared" si="14"/>
        <v>0</v>
      </c>
      <c r="I94" s="34">
        <f t="shared" si="15"/>
        <v>0</v>
      </c>
      <c r="J94" s="37">
        <f t="shared" si="16"/>
        <v>8.1342483190307749E-2</v>
      </c>
      <c r="K94" s="34">
        <f t="shared" si="17"/>
        <v>1.7326702610281675</v>
      </c>
      <c r="L94" s="37">
        <f t="shared" si="18"/>
        <v>4.3764838746922221</v>
      </c>
      <c r="M94" s="34">
        <f t="shared" si="19"/>
        <v>7.512246896315756</v>
      </c>
      <c r="N94" s="37"/>
      <c r="O94" s="37"/>
      <c r="P94" s="34"/>
      <c r="Q94" s="37"/>
      <c r="R94" s="37"/>
      <c r="S94" s="33">
        <f t="shared" si="13"/>
        <v>13.702743515226453</v>
      </c>
    </row>
    <row r="95" spans="4:19" ht="13.2" x14ac:dyDescent="0.25">
      <c r="D95" s="32">
        <v>54</v>
      </c>
      <c r="E95" s="27">
        <f t="shared" si="10"/>
        <v>1.755307165999014</v>
      </c>
      <c r="F95" s="28">
        <f t="shared" si="11"/>
        <v>3.2037183396761839</v>
      </c>
      <c r="G95" s="29">
        <f t="shared" si="12"/>
        <v>0</v>
      </c>
      <c r="H95" s="34">
        <f t="shared" si="14"/>
        <v>0</v>
      </c>
      <c r="I95" s="34">
        <f t="shared" si="15"/>
        <v>0</v>
      </c>
      <c r="J95" s="37">
        <f t="shared" si="16"/>
        <v>8.4147396403766644E-2</v>
      </c>
      <c r="K95" s="34">
        <f t="shared" si="17"/>
        <v>1.8151783686961753</v>
      </c>
      <c r="L95" s="37">
        <f t="shared" si="18"/>
        <v>4.713136480437778</v>
      </c>
      <c r="M95" s="34">
        <f t="shared" si="19"/>
        <v>9.0146962755789062</v>
      </c>
      <c r="N95" s="37"/>
      <c r="O95" s="37"/>
      <c r="P95" s="34"/>
      <c r="Q95" s="37"/>
      <c r="R95" s="37"/>
      <c r="S95" s="33">
        <f t="shared" si="13"/>
        <v>15.627158521116627</v>
      </c>
    </row>
    <row r="96" spans="4:19" ht="13.2" x14ac:dyDescent="0.25">
      <c r="D96" s="32">
        <v>55</v>
      </c>
      <c r="E96" s="27">
        <f t="shared" si="10"/>
        <v>1.787812854258255</v>
      </c>
      <c r="F96" s="28">
        <f t="shared" si="11"/>
        <v>3.13466077932793</v>
      </c>
      <c r="G96" s="29">
        <f t="shared" si="12"/>
        <v>0</v>
      </c>
      <c r="H96" s="34">
        <f t="shared" si="14"/>
        <v>0</v>
      </c>
      <c r="I96" s="34">
        <f t="shared" si="15"/>
        <v>0</v>
      </c>
      <c r="J96" s="37">
        <f t="shared" si="16"/>
        <v>8.6952309617225526E-2</v>
      </c>
      <c r="K96" s="34">
        <f t="shared" si="17"/>
        <v>1.8976864763641834</v>
      </c>
      <c r="L96" s="37">
        <f t="shared" si="18"/>
        <v>5.0497890861833339</v>
      </c>
      <c r="M96" s="34">
        <f t="shared" si="19"/>
        <v>10.517145654842057</v>
      </c>
      <c r="N96" s="37"/>
      <c r="O96" s="37"/>
      <c r="P96" s="34"/>
      <c r="Q96" s="37"/>
      <c r="R96" s="37"/>
      <c r="S96" s="33">
        <f t="shared" si="13"/>
        <v>17.551573527006802</v>
      </c>
    </row>
    <row r="97" spans="4:19" ht="13.2" x14ac:dyDescent="0.25">
      <c r="D97" s="32">
        <v>56</v>
      </c>
      <c r="E97" s="27">
        <f t="shared" si="10"/>
        <v>1.8203185425174961</v>
      </c>
      <c r="F97" s="28">
        <f t="shared" si="11"/>
        <v>3.065603218979676</v>
      </c>
      <c r="G97" s="29">
        <f t="shared" si="12"/>
        <v>0</v>
      </c>
      <c r="H97" s="34">
        <f t="shared" si="14"/>
        <v>0</v>
      </c>
      <c r="I97" s="34">
        <f t="shared" si="15"/>
        <v>0</v>
      </c>
      <c r="J97" s="37">
        <f t="shared" si="16"/>
        <v>8.9757222830684408E-2</v>
      </c>
      <c r="K97" s="34">
        <f t="shared" si="17"/>
        <v>1.9801945840321917</v>
      </c>
      <c r="L97" s="37">
        <f t="shared" si="18"/>
        <v>5.3864416919288889</v>
      </c>
      <c r="M97" s="34">
        <f t="shared" si="19"/>
        <v>12.019595034105208</v>
      </c>
      <c r="N97" s="37">
        <f t="shared" ref="N97:N197" si="20">F41*$S$13</f>
        <v>0</v>
      </c>
      <c r="O97" s="37"/>
      <c r="P97" s="34"/>
      <c r="Q97" s="37"/>
      <c r="R97" s="37"/>
      <c r="S97" s="33">
        <f t="shared" si="13"/>
        <v>19.475988532896974</v>
      </c>
    </row>
    <row r="98" spans="4:19" ht="13.2" x14ac:dyDescent="0.25">
      <c r="D98" s="32">
        <v>57</v>
      </c>
      <c r="E98" s="27">
        <f t="shared" si="10"/>
        <v>1.8528242307767371</v>
      </c>
      <c r="F98" s="28">
        <f t="shared" si="11"/>
        <v>2.9965456586314225</v>
      </c>
      <c r="G98" s="29">
        <f t="shared" si="12"/>
        <v>0</v>
      </c>
      <c r="H98" s="34">
        <f t="shared" si="14"/>
        <v>0</v>
      </c>
      <c r="I98" s="34">
        <f t="shared" si="15"/>
        <v>0</v>
      </c>
      <c r="J98" s="37">
        <f t="shared" si="16"/>
        <v>9.2562136044143289E-2</v>
      </c>
      <c r="K98" s="34">
        <f t="shared" si="17"/>
        <v>2.0627026917001996</v>
      </c>
      <c r="L98" s="37">
        <f t="shared" si="18"/>
        <v>5.7230942976744448</v>
      </c>
      <c r="M98" s="34">
        <f t="shared" si="19"/>
        <v>13.522044413368361</v>
      </c>
      <c r="N98" s="37">
        <f t="shared" si="20"/>
        <v>0.56782715860536526</v>
      </c>
      <c r="O98" s="37"/>
      <c r="P98" s="34"/>
      <c r="Q98" s="37"/>
      <c r="R98" s="37"/>
      <c r="S98" s="33">
        <f t="shared" si="13"/>
        <v>21.968230697392514</v>
      </c>
    </row>
    <row r="99" spans="4:19" ht="13.2" x14ac:dyDescent="0.25">
      <c r="D99" s="32">
        <v>58</v>
      </c>
      <c r="E99" s="27">
        <f t="shared" si="10"/>
        <v>1.885329919035978</v>
      </c>
      <c r="F99" s="28">
        <f t="shared" si="11"/>
        <v>2.9274880982831695</v>
      </c>
      <c r="G99" s="29">
        <f t="shared" si="12"/>
        <v>0</v>
      </c>
      <c r="H99" s="34">
        <f t="shared" si="14"/>
        <v>0</v>
      </c>
      <c r="I99" s="34">
        <f t="shared" si="15"/>
        <v>0</v>
      </c>
      <c r="J99" s="37">
        <f t="shared" si="16"/>
        <v>9.5367049257602199E-2</v>
      </c>
      <c r="K99" s="34">
        <f t="shared" si="17"/>
        <v>2.1452107993682077</v>
      </c>
      <c r="L99" s="37">
        <f t="shared" si="18"/>
        <v>6.0597469034200007</v>
      </c>
      <c r="M99" s="34">
        <f t="shared" si="19"/>
        <v>15.024493792631512</v>
      </c>
      <c r="N99" s="37">
        <f t="shared" si="20"/>
        <v>1.1356543172107305</v>
      </c>
      <c r="O99" s="37"/>
      <c r="P99" s="34"/>
      <c r="Q99" s="37"/>
      <c r="R99" s="37"/>
      <c r="S99" s="33">
        <f t="shared" si="13"/>
        <v>24.46047286188805</v>
      </c>
    </row>
    <row r="100" spans="4:19" ht="13.2" x14ac:dyDescent="0.25">
      <c r="D100" s="32">
        <v>59</v>
      </c>
      <c r="E100" s="27">
        <f t="shared" si="10"/>
        <v>1.9178356072952192</v>
      </c>
      <c r="F100" s="28">
        <f t="shared" si="11"/>
        <v>2.8584305379349146</v>
      </c>
      <c r="G100" s="29">
        <f t="shared" si="12"/>
        <v>0</v>
      </c>
      <c r="H100" s="34">
        <f t="shared" si="14"/>
        <v>0</v>
      </c>
      <c r="I100" s="34">
        <f t="shared" si="15"/>
        <v>0</v>
      </c>
      <c r="J100" s="37">
        <f t="shared" si="16"/>
        <v>9.8171962471061081E-2</v>
      </c>
      <c r="K100" s="34">
        <f t="shared" si="17"/>
        <v>2.2277189070362153</v>
      </c>
      <c r="L100" s="37">
        <f t="shared" si="18"/>
        <v>6.3963995091655557</v>
      </c>
      <c r="M100" s="34">
        <f t="shared" si="19"/>
        <v>16.526943171894661</v>
      </c>
      <c r="N100" s="37">
        <f t="shared" si="20"/>
        <v>1.7034814758160959</v>
      </c>
      <c r="O100" s="37"/>
      <c r="P100" s="34"/>
      <c r="Q100" s="37"/>
      <c r="R100" s="37"/>
      <c r="S100" s="33">
        <f t="shared" si="13"/>
        <v>26.952715026383586</v>
      </c>
    </row>
    <row r="101" spans="4:19" ht="13.2" x14ac:dyDescent="0.25">
      <c r="D101" s="32">
        <v>60</v>
      </c>
      <c r="E101" s="27">
        <f t="shared" si="10"/>
        <v>1.9503412955544601</v>
      </c>
      <c r="F101" s="28">
        <f t="shared" si="11"/>
        <v>2.7893729775866616</v>
      </c>
      <c r="G101" s="29">
        <f t="shared" si="12"/>
        <v>0</v>
      </c>
      <c r="H101" s="34">
        <f t="shared" si="14"/>
        <v>0</v>
      </c>
      <c r="I101" s="34">
        <f t="shared" si="15"/>
        <v>0</v>
      </c>
      <c r="J101" s="37">
        <f t="shared" si="16"/>
        <v>0.10097687568451998</v>
      </c>
      <c r="K101" s="34">
        <f t="shared" si="17"/>
        <v>2.3102270147042234</v>
      </c>
      <c r="L101" s="37">
        <f t="shared" si="18"/>
        <v>6.7330521149111116</v>
      </c>
      <c r="M101" s="34">
        <f t="shared" si="19"/>
        <v>18.029392551157812</v>
      </c>
      <c r="N101" s="37">
        <f t="shared" si="20"/>
        <v>2.271308634421461</v>
      </c>
      <c r="O101" s="37"/>
      <c r="P101" s="34"/>
      <c r="Q101" s="37"/>
      <c r="R101" s="37"/>
      <c r="S101" s="33">
        <f t="shared" si="13"/>
        <v>29.44495719087913</v>
      </c>
    </row>
    <row r="102" spans="4:19" ht="13.2" x14ac:dyDescent="0.25">
      <c r="D102" s="32">
        <v>61</v>
      </c>
      <c r="E102" s="27">
        <f t="shared" si="10"/>
        <v>1.9828469838137011</v>
      </c>
      <c r="F102" s="28">
        <f t="shared" si="11"/>
        <v>2.7203154172384076</v>
      </c>
      <c r="G102" s="29">
        <f t="shared" si="12"/>
        <v>0</v>
      </c>
      <c r="H102" s="34">
        <f t="shared" si="14"/>
        <v>0</v>
      </c>
      <c r="I102" s="34">
        <f t="shared" si="15"/>
        <v>0</v>
      </c>
      <c r="J102" s="37">
        <f t="shared" si="16"/>
        <v>0.10378178889797884</v>
      </c>
      <c r="K102" s="34">
        <f t="shared" si="17"/>
        <v>2.3927351223722315</v>
      </c>
      <c r="L102" s="37">
        <f t="shared" si="18"/>
        <v>7.0697047206566666</v>
      </c>
      <c r="M102" s="34">
        <f t="shared" si="19"/>
        <v>19.531841930420963</v>
      </c>
      <c r="N102" s="37">
        <f t="shared" si="20"/>
        <v>2.8391357930268266</v>
      </c>
      <c r="O102" s="37"/>
      <c r="P102" s="34"/>
      <c r="Q102" s="37"/>
      <c r="R102" s="37"/>
      <c r="S102" s="33">
        <f t="shared" si="13"/>
        <v>31.937199355374666</v>
      </c>
    </row>
    <row r="103" spans="4:19" ht="13.2" x14ac:dyDescent="0.25">
      <c r="D103" s="32">
        <v>62</v>
      </c>
      <c r="E103" s="27">
        <f t="shared" si="10"/>
        <v>2.0153526720729422</v>
      </c>
      <c r="F103" s="28">
        <f t="shared" si="11"/>
        <v>2.6512578568901537</v>
      </c>
      <c r="G103" s="29">
        <f t="shared" si="12"/>
        <v>0</v>
      </c>
      <c r="H103" s="34">
        <f t="shared" si="14"/>
        <v>0</v>
      </c>
      <c r="I103" s="34">
        <f t="shared" si="15"/>
        <v>0</v>
      </c>
      <c r="J103" s="37">
        <f t="shared" si="16"/>
        <v>0.10479290132582447</v>
      </c>
      <c r="K103" s="34">
        <f t="shared" si="17"/>
        <v>2.4752432300402396</v>
      </c>
      <c r="L103" s="37">
        <f t="shared" si="18"/>
        <v>7.4063573264022216</v>
      </c>
      <c r="M103" s="34">
        <f t="shared" si="19"/>
        <v>21.034291309684114</v>
      </c>
      <c r="N103" s="37">
        <f t="shared" si="20"/>
        <v>3.4069629516321918</v>
      </c>
      <c r="O103" s="37"/>
      <c r="P103" s="34"/>
      <c r="Q103" s="37"/>
      <c r="R103" s="37"/>
      <c r="S103" s="33">
        <f t="shared" si="13"/>
        <v>34.42764771908459</v>
      </c>
    </row>
    <row r="104" spans="4:19" ht="13.2" x14ac:dyDescent="0.25">
      <c r="D104" s="32">
        <v>63</v>
      </c>
      <c r="E104" s="27">
        <f t="shared" si="10"/>
        <v>2.0478583603321829</v>
      </c>
      <c r="F104" s="28">
        <f t="shared" si="11"/>
        <v>2.5822002965419006</v>
      </c>
      <c r="G104" s="29">
        <f t="shared" si="12"/>
        <v>0</v>
      </c>
      <c r="H104" s="34">
        <f t="shared" si="14"/>
        <v>0</v>
      </c>
      <c r="I104" s="34">
        <f t="shared" si="15"/>
        <v>0</v>
      </c>
      <c r="J104" s="37">
        <f t="shared" si="16"/>
        <v>0.1031133125752503</v>
      </c>
      <c r="K104" s="34">
        <f t="shared" si="17"/>
        <v>2.5577513377082477</v>
      </c>
      <c r="L104" s="37">
        <f t="shared" si="18"/>
        <v>7.7430099321477774</v>
      </c>
      <c r="M104" s="34">
        <f t="shared" si="19"/>
        <v>22.536740688947265</v>
      </c>
      <c r="N104" s="37">
        <f t="shared" si="20"/>
        <v>3.9747901102375574</v>
      </c>
      <c r="O104" s="37"/>
      <c r="P104" s="34"/>
      <c r="Q104" s="37"/>
      <c r="R104" s="37"/>
      <c r="S104" s="33">
        <f t="shared" si="13"/>
        <v>36.915405381616097</v>
      </c>
    </row>
    <row r="105" spans="4:19" ht="13.2" x14ac:dyDescent="0.25">
      <c r="D105" s="32">
        <v>64</v>
      </c>
      <c r="E105" s="27">
        <f t="shared" si="10"/>
        <v>2.0803640485914241</v>
      </c>
      <c r="F105" s="28">
        <f t="shared" si="11"/>
        <v>2.5131427361936467</v>
      </c>
      <c r="G105" s="29">
        <f t="shared" si="12"/>
        <v>0</v>
      </c>
      <c r="H105" s="34">
        <f t="shared" si="14"/>
        <v>0</v>
      </c>
      <c r="I105" s="34">
        <f t="shared" si="15"/>
        <v>0</v>
      </c>
      <c r="J105" s="37">
        <f t="shared" si="16"/>
        <v>0.10143372382467614</v>
      </c>
      <c r="K105" s="34">
        <f t="shared" si="17"/>
        <v>2.6402594453762553</v>
      </c>
      <c r="L105" s="37">
        <f t="shared" si="18"/>
        <v>8.0796625378933342</v>
      </c>
      <c r="M105" s="34">
        <f t="shared" si="19"/>
        <v>24.039190068210416</v>
      </c>
      <c r="N105" s="37">
        <f t="shared" si="20"/>
        <v>4.5426172688429221</v>
      </c>
      <c r="O105" s="37">
        <f t="shared" ref="O105:O205" si="21">F41*$S$14</f>
        <v>0</v>
      </c>
      <c r="P105" s="34"/>
      <c r="Q105" s="37"/>
      <c r="R105" s="37"/>
      <c r="S105" s="33">
        <f t="shared" si="13"/>
        <v>39.403163044147611</v>
      </c>
    </row>
    <row r="106" spans="4:19" ht="13.2" x14ac:dyDescent="0.25">
      <c r="D106" s="32">
        <v>65</v>
      </c>
      <c r="E106" s="27">
        <f t="shared" si="10"/>
        <v>2.1128697368506653</v>
      </c>
      <c r="F106" s="28">
        <f t="shared" si="11"/>
        <v>2.4440851758453928</v>
      </c>
      <c r="G106" s="29">
        <f t="shared" si="12"/>
        <v>0</v>
      </c>
      <c r="H106" s="34">
        <f t="shared" si="14"/>
        <v>0</v>
      </c>
      <c r="I106" s="34">
        <f t="shared" si="15"/>
        <v>0</v>
      </c>
      <c r="J106" s="37">
        <f t="shared" si="16"/>
        <v>9.9754135074101941E-2</v>
      </c>
      <c r="K106" s="34">
        <f t="shared" si="17"/>
        <v>2.722767553044263</v>
      </c>
      <c r="L106" s="37">
        <f t="shared" si="18"/>
        <v>8.4163151436388883</v>
      </c>
      <c r="M106" s="34">
        <f t="shared" si="19"/>
        <v>25.541639447473571</v>
      </c>
      <c r="N106" s="37">
        <f t="shared" si="20"/>
        <v>5.1104444274482885</v>
      </c>
      <c r="O106" s="37">
        <f t="shared" si="21"/>
        <v>0.42704652845961844</v>
      </c>
      <c r="P106" s="34"/>
      <c r="Q106" s="37"/>
      <c r="R106" s="37"/>
      <c r="S106" s="33">
        <f t="shared" si="13"/>
        <v>42.317967235138731</v>
      </c>
    </row>
    <row r="107" spans="4:19" ht="13.2" x14ac:dyDescent="0.25">
      <c r="D107" s="32">
        <v>66</v>
      </c>
      <c r="E107" s="27">
        <f t="shared" si="10"/>
        <v>2.145375425109906</v>
      </c>
      <c r="F107" s="28">
        <f t="shared" si="11"/>
        <v>2.3750276154971397</v>
      </c>
      <c r="G107" s="29">
        <f t="shared" si="12"/>
        <v>0</v>
      </c>
      <c r="H107" s="34">
        <f t="shared" si="14"/>
        <v>0</v>
      </c>
      <c r="I107" s="34">
        <f t="shared" si="15"/>
        <v>0</v>
      </c>
      <c r="J107" s="37">
        <f t="shared" si="16"/>
        <v>9.8074546323527759E-2</v>
      </c>
      <c r="K107" s="34">
        <f t="shared" si="17"/>
        <v>2.8052756607122715</v>
      </c>
      <c r="L107" s="37">
        <f t="shared" si="18"/>
        <v>8.7529677493844442</v>
      </c>
      <c r="M107" s="34">
        <f t="shared" si="19"/>
        <v>27.044088826736722</v>
      </c>
      <c r="N107" s="37">
        <f t="shared" si="20"/>
        <v>5.6782715860536532</v>
      </c>
      <c r="O107" s="37">
        <f t="shared" si="21"/>
        <v>0.85409305691923687</v>
      </c>
      <c r="P107" s="34"/>
      <c r="Q107" s="37"/>
      <c r="R107" s="37"/>
      <c r="S107" s="33">
        <f t="shared" si="13"/>
        <v>45.232771426129858</v>
      </c>
    </row>
    <row r="108" spans="4:19" ht="13.2" x14ac:dyDescent="0.25">
      <c r="D108" s="32">
        <v>67</v>
      </c>
      <c r="E108" s="27">
        <f t="shared" si="10"/>
        <v>2.1778811133691471</v>
      </c>
      <c r="F108" s="28">
        <f t="shared" si="11"/>
        <v>2.3059700551488858</v>
      </c>
      <c r="G108" s="29">
        <f t="shared" si="12"/>
        <v>0</v>
      </c>
      <c r="H108" s="34">
        <f t="shared" si="14"/>
        <v>0</v>
      </c>
      <c r="I108" s="34">
        <f t="shared" si="15"/>
        <v>0</v>
      </c>
      <c r="J108" s="37">
        <f t="shared" si="16"/>
        <v>9.6394957572953563E-2</v>
      </c>
      <c r="K108" s="34">
        <f t="shared" si="17"/>
        <v>2.8877837683802796</v>
      </c>
      <c r="L108" s="37">
        <f t="shared" si="18"/>
        <v>9.0896203551300001</v>
      </c>
      <c r="M108" s="34">
        <f t="shared" si="19"/>
        <v>28.54653820599987</v>
      </c>
      <c r="N108" s="37">
        <f t="shared" si="20"/>
        <v>6.2460987446590179</v>
      </c>
      <c r="O108" s="37">
        <f t="shared" si="21"/>
        <v>1.2811395853788552</v>
      </c>
      <c r="P108" s="34"/>
      <c r="Q108" s="37"/>
      <c r="R108" s="37"/>
      <c r="S108" s="33">
        <f t="shared" si="13"/>
        <v>48.147575617120971</v>
      </c>
    </row>
    <row r="109" spans="4:19" ht="13.2" x14ac:dyDescent="0.25">
      <c r="D109" s="32">
        <v>68</v>
      </c>
      <c r="E109" s="27">
        <f t="shared" si="10"/>
        <v>2.2103868016283883</v>
      </c>
      <c r="F109" s="28">
        <f t="shared" si="11"/>
        <v>2.2369124948006318</v>
      </c>
      <c r="G109" s="29">
        <f t="shared" si="12"/>
        <v>0</v>
      </c>
      <c r="H109" s="34">
        <f t="shared" si="14"/>
        <v>0</v>
      </c>
      <c r="I109" s="34">
        <f t="shared" si="15"/>
        <v>0</v>
      </c>
      <c r="J109" s="37">
        <f t="shared" si="16"/>
        <v>9.4715368822379381E-2</v>
      </c>
      <c r="K109" s="34">
        <f t="shared" si="17"/>
        <v>2.9702918760482877</v>
      </c>
      <c r="L109" s="37">
        <f t="shared" si="18"/>
        <v>9.426272960875556</v>
      </c>
      <c r="M109" s="34">
        <f t="shared" si="19"/>
        <v>30.048987585263024</v>
      </c>
      <c r="N109" s="37">
        <f t="shared" si="20"/>
        <v>6.8139259032643835</v>
      </c>
      <c r="O109" s="37">
        <f t="shared" si="21"/>
        <v>1.7081861138384737</v>
      </c>
      <c r="P109" s="34"/>
      <c r="Q109" s="37"/>
      <c r="R109" s="37"/>
      <c r="S109" s="33">
        <f t="shared" si="13"/>
        <v>51.062379808112105</v>
      </c>
    </row>
    <row r="110" spans="4:19" ht="13.2" x14ac:dyDescent="0.25">
      <c r="D110" s="32">
        <v>69</v>
      </c>
      <c r="E110" s="27">
        <f t="shared" si="10"/>
        <v>2.242892489887629</v>
      </c>
      <c r="F110" s="28">
        <f t="shared" si="11"/>
        <v>2.1678549344523788</v>
      </c>
      <c r="G110" s="29">
        <f t="shared" si="12"/>
        <v>0</v>
      </c>
      <c r="H110" s="34">
        <f t="shared" si="14"/>
        <v>0</v>
      </c>
      <c r="I110" s="34">
        <f t="shared" si="15"/>
        <v>0</v>
      </c>
      <c r="J110" s="37">
        <f t="shared" si="16"/>
        <v>9.3035780071805199E-2</v>
      </c>
      <c r="K110" s="34">
        <f t="shared" si="17"/>
        <v>3.0527999837162949</v>
      </c>
      <c r="L110" s="37">
        <f t="shared" si="18"/>
        <v>9.7629255666211101</v>
      </c>
      <c r="M110" s="34">
        <f t="shared" si="19"/>
        <v>31.551436964526172</v>
      </c>
      <c r="N110" s="37">
        <f t="shared" si="20"/>
        <v>7.3817530618697491</v>
      </c>
      <c r="O110" s="37">
        <f t="shared" si="21"/>
        <v>2.1352326422980923</v>
      </c>
      <c r="P110" s="34"/>
      <c r="Q110" s="37"/>
      <c r="R110" s="37"/>
      <c r="S110" s="33">
        <f t="shared" si="13"/>
        <v>53.977183999103225</v>
      </c>
    </row>
    <row r="111" spans="4:19" ht="13.2" x14ac:dyDescent="0.25">
      <c r="D111" s="32">
        <v>70</v>
      </c>
      <c r="E111" s="27">
        <f t="shared" si="10"/>
        <v>2.2753981781468702</v>
      </c>
      <c r="F111" s="28">
        <f t="shared" si="11"/>
        <v>2.0987973741041248</v>
      </c>
      <c r="G111" s="29">
        <f t="shared" si="12"/>
        <v>0</v>
      </c>
      <c r="H111" s="34">
        <f t="shared" si="14"/>
        <v>0</v>
      </c>
      <c r="I111" s="34">
        <f t="shared" si="15"/>
        <v>0</v>
      </c>
      <c r="J111" s="37">
        <f t="shared" si="16"/>
        <v>9.1356191321231017E-2</v>
      </c>
      <c r="K111" s="34">
        <f t="shared" si="17"/>
        <v>3.0825424273187738</v>
      </c>
      <c r="L111" s="37">
        <f t="shared" si="18"/>
        <v>10.099578172366668</v>
      </c>
      <c r="M111" s="34">
        <f t="shared" si="19"/>
        <v>33.053886343789323</v>
      </c>
      <c r="N111" s="37">
        <f t="shared" si="20"/>
        <v>7.9495802204751147</v>
      </c>
      <c r="O111" s="37">
        <f t="shared" si="21"/>
        <v>2.5622791707577104</v>
      </c>
      <c r="P111" s="34"/>
      <c r="Q111" s="37"/>
      <c r="R111" s="37"/>
      <c r="S111" s="33">
        <f t="shared" si="13"/>
        <v>56.83922252602882</v>
      </c>
    </row>
    <row r="112" spans="4:19" ht="13.2" x14ac:dyDescent="0.25">
      <c r="D112" s="32">
        <v>71</v>
      </c>
      <c r="E112" s="27">
        <f t="shared" si="10"/>
        <v>2.3079038664061109</v>
      </c>
      <c r="F112" s="28">
        <f t="shared" si="11"/>
        <v>2.0297398137558718</v>
      </c>
      <c r="G112" s="29">
        <f t="shared" si="12"/>
        <v>0</v>
      </c>
      <c r="H112" s="34">
        <f t="shared" si="14"/>
        <v>0</v>
      </c>
      <c r="I112" s="34">
        <f t="shared" si="15"/>
        <v>0</v>
      </c>
      <c r="J112" s="37">
        <f t="shared" si="16"/>
        <v>8.9676602570656835E-2</v>
      </c>
      <c r="K112" s="34">
        <f t="shared" si="17"/>
        <v>3.0331363748229609</v>
      </c>
      <c r="L112" s="37">
        <f t="shared" si="18"/>
        <v>10.436230778112224</v>
      </c>
      <c r="M112" s="34">
        <f t="shared" si="19"/>
        <v>34.556335723052477</v>
      </c>
      <c r="N112" s="37">
        <f t="shared" si="20"/>
        <v>8.5174073790804794</v>
      </c>
      <c r="O112" s="37">
        <f t="shared" si="21"/>
        <v>2.9893256992173289</v>
      </c>
      <c r="P112" s="34"/>
      <c r="Q112" s="37"/>
      <c r="R112" s="37"/>
      <c r="S112" s="33">
        <f t="shared" si="13"/>
        <v>59.622112556856131</v>
      </c>
    </row>
    <row r="113" spans="4:19" ht="13.2" x14ac:dyDescent="0.25">
      <c r="D113" s="32">
        <v>72</v>
      </c>
      <c r="E113" s="27">
        <f t="shared" si="10"/>
        <v>2.3404095546653521</v>
      </c>
      <c r="F113" s="28">
        <f t="shared" si="11"/>
        <v>1.9606822534076169</v>
      </c>
      <c r="G113" s="29">
        <f t="shared" si="12"/>
        <v>0</v>
      </c>
      <c r="H113" s="34">
        <f t="shared" si="14"/>
        <v>0</v>
      </c>
      <c r="I113" s="34">
        <f t="shared" si="15"/>
        <v>0</v>
      </c>
      <c r="J113" s="37">
        <f t="shared" si="16"/>
        <v>8.799701382008264E-2</v>
      </c>
      <c r="K113" s="34">
        <f t="shared" si="17"/>
        <v>2.9837303223271485</v>
      </c>
      <c r="L113" s="37">
        <f t="shared" si="18"/>
        <v>10.772883383857778</v>
      </c>
      <c r="M113" s="34">
        <f t="shared" si="19"/>
        <v>36.058785102315625</v>
      </c>
      <c r="N113" s="37">
        <f t="shared" si="20"/>
        <v>9.0852345376858441</v>
      </c>
      <c r="O113" s="37">
        <f t="shared" si="21"/>
        <v>3.4163722276769475</v>
      </c>
      <c r="P113" s="34">
        <f t="shared" ref="P113:P213" si="22">$S$15*F41</f>
        <v>0</v>
      </c>
      <c r="Q113" s="37"/>
      <c r="R113" s="37"/>
      <c r="S113" s="33">
        <f t="shared" si="13"/>
        <v>62.40500258768342</v>
      </c>
    </row>
    <row r="114" spans="4:19" ht="13.2" x14ac:dyDescent="0.25">
      <c r="D114" s="32">
        <v>73</v>
      </c>
      <c r="E114" s="27">
        <f t="shared" si="10"/>
        <v>2.3729152429245932</v>
      </c>
      <c r="F114" s="28">
        <f t="shared" si="11"/>
        <v>1.891624693059363</v>
      </c>
      <c r="G114" s="29">
        <f t="shared" si="12"/>
        <v>0</v>
      </c>
      <c r="H114" s="34">
        <f t="shared" si="14"/>
        <v>0</v>
      </c>
      <c r="I114" s="34">
        <f t="shared" si="15"/>
        <v>0</v>
      </c>
      <c r="J114" s="37">
        <f t="shared" si="16"/>
        <v>8.6317425069508458E-2</v>
      </c>
      <c r="K114" s="34">
        <f t="shared" si="17"/>
        <v>2.9343242698313348</v>
      </c>
      <c r="L114" s="37">
        <f t="shared" si="18"/>
        <v>11.109535989603334</v>
      </c>
      <c r="M114" s="34">
        <f t="shared" si="19"/>
        <v>37.561234481578779</v>
      </c>
      <c r="N114" s="37">
        <f t="shared" si="20"/>
        <v>9.6530616962912106</v>
      </c>
      <c r="O114" s="37">
        <f t="shared" si="21"/>
        <v>3.843418756136566</v>
      </c>
      <c r="P114" s="34">
        <f t="shared" si="22"/>
        <v>0.35831838239590702</v>
      </c>
      <c r="Q114" s="37"/>
      <c r="R114" s="37"/>
      <c r="S114" s="33">
        <f t="shared" si="13"/>
        <v>65.546211000906638</v>
      </c>
    </row>
    <row r="115" spans="4:19" ht="13.2" x14ac:dyDescent="0.25">
      <c r="D115" s="32">
        <v>74</v>
      </c>
      <c r="E115" s="27">
        <f t="shared" si="10"/>
        <v>2.4054209311838339</v>
      </c>
      <c r="F115" s="28">
        <f t="shared" si="11"/>
        <v>1.8225671327111099</v>
      </c>
      <c r="G115" s="29">
        <f t="shared" si="12"/>
        <v>0</v>
      </c>
      <c r="H115" s="34">
        <f t="shared" si="14"/>
        <v>0</v>
      </c>
      <c r="I115" s="34">
        <f t="shared" si="15"/>
        <v>0</v>
      </c>
      <c r="J115" s="37">
        <f t="shared" si="16"/>
        <v>8.4637836318934276E-2</v>
      </c>
      <c r="K115" s="34">
        <f t="shared" si="17"/>
        <v>2.8849182173355215</v>
      </c>
      <c r="L115" s="37">
        <f t="shared" si="18"/>
        <v>11.44618859534889</v>
      </c>
      <c r="M115" s="34">
        <f t="shared" si="19"/>
        <v>39.063683860841927</v>
      </c>
      <c r="N115" s="37">
        <f t="shared" si="20"/>
        <v>10.220888854896577</v>
      </c>
      <c r="O115" s="37">
        <f t="shared" si="21"/>
        <v>4.2704652845961846</v>
      </c>
      <c r="P115" s="34">
        <f t="shared" si="22"/>
        <v>0.71663676479181404</v>
      </c>
      <c r="Q115" s="37"/>
      <c r="R115" s="37"/>
      <c r="S115" s="33">
        <f t="shared" si="13"/>
        <v>68.687419414129849</v>
      </c>
    </row>
    <row r="116" spans="4:19" ht="13.2" x14ac:dyDescent="0.25">
      <c r="D116" s="32">
        <v>75</v>
      </c>
      <c r="E116" s="27">
        <f t="shared" si="10"/>
        <v>2.4379266194430751</v>
      </c>
      <c r="F116" s="28">
        <f t="shared" si="11"/>
        <v>1.753509572362856</v>
      </c>
      <c r="G116" s="29">
        <f t="shared" si="12"/>
        <v>0</v>
      </c>
      <c r="H116" s="34">
        <f t="shared" si="14"/>
        <v>0</v>
      </c>
      <c r="I116" s="34">
        <f t="shared" si="15"/>
        <v>0</v>
      </c>
      <c r="J116" s="37">
        <f t="shared" si="16"/>
        <v>8.2958247568360094E-2</v>
      </c>
      <c r="K116" s="34">
        <f t="shared" si="17"/>
        <v>2.8355121648397081</v>
      </c>
      <c r="L116" s="37">
        <f t="shared" si="18"/>
        <v>11.782841201094445</v>
      </c>
      <c r="M116" s="34">
        <f t="shared" si="19"/>
        <v>40.566133240105081</v>
      </c>
      <c r="N116" s="37">
        <f t="shared" si="20"/>
        <v>10.78871601350194</v>
      </c>
      <c r="O116" s="37">
        <f t="shared" si="21"/>
        <v>4.6975118130558018</v>
      </c>
      <c r="P116" s="34">
        <f t="shared" si="22"/>
        <v>1.0749551471877212</v>
      </c>
      <c r="Q116" s="37"/>
      <c r="R116" s="37"/>
      <c r="S116" s="33">
        <f t="shared" si="13"/>
        <v>71.828627827353046</v>
      </c>
    </row>
    <row r="117" spans="4:19" ht="13.2" x14ac:dyDescent="0.25">
      <c r="D117" s="32">
        <v>76</v>
      </c>
      <c r="E117" s="27">
        <f t="shared" si="10"/>
        <v>2.4704323077023163</v>
      </c>
      <c r="F117" s="28">
        <f t="shared" si="11"/>
        <v>1.684452012014602</v>
      </c>
      <c r="G117" s="29">
        <f t="shared" si="12"/>
        <v>0</v>
      </c>
      <c r="H117" s="34">
        <f t="shared" si="14"/>
        <v>0</v>
      </c>
      <c r="I117" s="34">
        <f t="shared" si="15"/>
        <v>0</v>
      </c>
      <c r="J117" s="37">
        <f t="shared" si="16"/>
        <v>8.1278658817785898E-2</v>
      </c>
      <c r="K117" s="34">
        <f t="shared" si="17"/>
        <v>2.7861061123438953</v>
      </c>
      <c r="L117" s="37">
        <f t="shared" si="18"/>
        <v>12.119493806840001</v>
      </c>
      <c r="M117" s="34">
        <f t="shared" si="19"/>
        <v>42.068582619368229</v>
      </c>
      <c r="N117" s="37">
        <f t="shared" si="20"/>
        <v>11.356543172107306</v>
      </c>
      <c r="O117" s="37">
        <f t="shared" si="21"/>
        <v>5.1245583415154208</v>
      </c>
      <c r="P117" s="34">
        <f t="shared" si="22"/>
        <v>1.4332735295836281</v>
      </c>
      <c r="Q117" s="37"/>
      <c r="R117" s="37"/>
      <c r="S117" s="33">
        <f t="shared" si="13"/>
        <v>74.969836240576271</v>
      </c>
    </row>
    <row r="118" spans="4:19" ht="13.2" x14ac:dyDescent="0.25">
      <c r="D118" s="32">
        <v>77</v>
      </c>
      <c r="E118" s="27">
        <f t="shared" si="10"/>
        <v>2.502937995961557</v>
      </c>
      <c r="F118" s="28">
        <f t="shared" si="11"/>
        <v>1.615394451666349</v>
      </c>
      <c r="G118" s="29">
        <f t="shared" si="12"/>
        <v>0</v>
      </c>
      <c r="H118" s="34">
        <f t="shared" si="14"/>
        <v>0</v>
      </c>
      <c r="I118" s="34">
        <f t="shared" si="15"/>
        <v>0</v>
      </c>
      <c r="J118" s="37">
        <f t="shared" si="16"/>
        <v>7.9599070067211716E-2</v>
      </c>
      <c r="K118" s="34">
        <f t="shared" si="17"/>
        <v>2.736700059848082</v>
      </c>
      <c r="L118" s="37">
        <f t="shared" si="18"/>
        <v>12.456146412585555</v>
      </c>
      <c r="M118" s="34">
        <f t="shared" si="19"/>
        <v>43.571031998631383</v>
      </c>
      <c r="N118" s="37">
        <f t="shared" si="20"/>
        <v>11.924370330712671</v>
      </c>
      <c r="O118" s="37">
        <f t="shared" si="21"/>
        <v>5.5516048699750398</v>
      </c>
      <c r="P118" s="34">
        <f t="shared" si="22"/>
        <v>1.7915919119795354</v>
      </c>
      <c r="Q118" s="37"/>
      <c r="R118" s="37"/>
      <c r="S118" s="33">
        <f t="shared" si="13"/>
        <v>78.111044653799482</v>
      </c>
    </row>
    <row r="119" spans="4:19" ht="13.2" x14ac:dyDescent="0.25">
      <c r="D119" s="32">
        <v>78</v>
      </c>
      <c r="E119" s="27">
        <f t="shared" si="10"/>
        <v>2.5354436842207981</v>
      </c>
      <c r="F119" s="28">
        <f t="shared" si="11"/>
        <v>1.546336891318095</v>
      </c>
      <c r="G119" s="29">
        <f t="shared" si="12"/>
        <v>0</v>
      </c>
      <c r="H119" s="34">
        <f t="shared" si="14"/>
        <v>0</v>
      </c>
      <c r="I119" s="34">
        <f t="shared" si="15"/>
        <v>0</v>
      </c>
      <c r="J119" s="37">
        <f t="shared" si="16"/>
        <v>7.7919481316637548E-2</v>
      </c>
      <c r="K119" s="34">
        <f t="shared" si="17"/>
        <v>2.6872940073522686</v>
      </c>
      <c r="L119" s="37">
        <f t="shared" si="18"/>
        <v>12.577502621363291</v>
      </c>
      <c r="M119" s="34">
        <f t="shared" si="19"/>
        <v>45.073481377894531</v>
      </c>
      <c r="N119" s="37">
        <f t="shared" si="20"/>
        <v>12.492197489318036</v>
      </c>
      <c r="O119" s="37">
        <f t="shared" si="21"/>
        <v>5.9786513984346579</v>
      </c>
      <c r="P119" s="34">
        <f t="shared" si="22"/>
        <v>2.1499102943754425</v>
      </c>
      <c r="Q119" s="37"/>
      <c r="R119" s="37"/>
      <c r="S119" s="33">
        <f t="shared" si="13"/>
        <v>81.036956670054863</v>
      </c>
    </row>
    <row r="120" spans="4:19" ht="13.2" x14ac:dyDescent="0.25">
      <c r="D120" s="32">
        <v>79</v>
      </c>
      <c r="E120" s="27">
        <f t="shared" si="10"/>
        <v>2.5679493724800393</v>
      </c>
      <c r="F120" s="28">
        <f t="shared" si="11"/>
        <v>1.4772793309698411</v>
      </c>
      <c r="G120" s="29">
        <f t="shared" si="12"/>
        <v>0</v>
      </c>
      <c r="H120" s="34">
        <f t="shared" si="14"/>
        <v>0</v>
      </c>
      <c r="I120" s="34">
        <f t="shared" si="15"/>
        <v>0</v>
      </c>
      <c r="J120" s="37">
        <f t="shared" si="16"/>
        <v>7.6239892566063353E-2</v>
      </c>
      <c r="K120" s="34">
        <f t="shared" si="17"/>
        <v>2.6378879548564558</v>
      </c>
      <c r="L120" s="37">
        <f t="shared" si="18"/>
        <v>12.375914234689308</v>
      </c>
      <c r="M120" s="34">
        <f t="shared" si="19"/>
        <v>46.575930757157685</v>
      </c>
      <c r="N120" s="37">
        <f t="shared" si="20"/>
        <v>13.060024647923401</v>
      </c>
      <c r="O120" s="37">
        <f t="shared" si="21"/>
        <v>6.405697926894276</v>
      </c>
      <c r="P120" s="34">
        <f t="shared" si="22"/>
        <v>2.5082286767713495</v>
      </c>
      <c r="Q120" s="37"/>
      <c r="R120" s="37"/>
      <c r="S120" s="33">
        <f t="shared" si="13"/>
        <v>83.639924090858543</v>
      </c>
    </row>
    <row r="121" spans="4:19" ht="13.2" x14ac:dyDescent="0.25">
      <c r="D121" s="32">
        <v>80</v>
      </c>
      <c r="E121" s="27">
        <f t="shared" si="10"/>
        <v>2.60045506073928</v>
      </c>
      <c r="F121" s="28">
        <f t="shared" si="11"/>
        <v>1.408221770621588</v>
      </c>
      <c r="G121" s="29">
        <f t="shared" si="12"/>
        <v>0</v>
      </c>
      <c r="H121" s="34">
        <f t="shared" si="14"/>
        <v>0</v>
      </c>
      <c r="I121" s="34">
        <f t="shared" si="15"/>
        <v>0</v>
      </c>
      <c r="J121" s="37">
        <f t="shared" si="16"/>
        <v>7.4560303815489157E-2</v>
      </c>
      <c r="K121" s="34">
        <f t="shared" si="17"/>
        <v>2.5884819023606425</v>
      </c>
      <c r="L121" s="37">
        <f t="shared" si="18"/>
        <v>12.174325848015323</v>
      </c>
      <c r="M121" s="34">
        <f t="shared" si="19"/>
        <v>48.078380136420833</v>
      </c>
      <c r="N121" s="37">
        <f t="shared" si="20"/>
        <v>13.627851806528767</v>
      </c>
      <c r="O121" s="37">
        <f t="shared" si="21"/>
        <v>6.832744455353895</v>
      </c>
      <c r="P121" s="34">
        <f t="shared" si="22"/>
        <v>2.8665470591672562</v>
      </c>
      <c r="Q121" s="37">
        <f t="shared" ref="Q121:Q221" si="23">F41*$S$16</f>
        <v>0</v>
      </c>
      <c r="R121" s="37"/>
      <c r="S121" s="33">
        <f t="shared" si="13"/>
        <v>86.242891511662208</v>
      </c>
    </row>
    <row r="122" spans="4:19" ht="13.2" x14ac:dyDescent="0.25">
      <c r="D122" s="32">
        <v>81</v>
      </c>
      <c r="E122" s="27">
        <f t="shared" si="10"/>
        <v>2.6329607489985212</v>
      </c>
      <c r="F122" s="28">
        <f t="shared" si="11"/>
        <v>1.3391642102733341</v>
      </c>
      <c r="G122" s="29">
        <f t="shared" si="12"/>
        <v>0</v>
      </c>
      <c r="H122" s="34">
        <f t="shared" si="14"/>
        <v>0</v>
      </c>
      <c r="I122" s="34">
        <f t="shared" si="15"/>
        <v>0</v>
      </c>
      <c r="J122" s="37">
        <f t="shared" si="16"/>
        <v>7.2880715064914975E-2</v>
      </c>
      <c r="K122" s="34">
        <f t="shared" si="17"/>
        <v>2.5390758498648291</v>
      </c>
      <c r="L122" s="37">
        <f t="shared" si="18"/>
        <v>11.972737461341337</v>
      </c>
      <c r="M122" s="34">
        <f t="shared" si="19"/>
        <v>49.58082951568398</v>
      </c>
      <c r="N122" s="37">
        <f t="shared" si="20"/>
        <v>14.195678965134132</v>
      </c>
      <c r="O122" s="37">
        <f t="shared" si="21"/>
        <v>7.259790983813514</v>
      </c>
      <c r="P122" s="34">
        <f t="shared" si="22"/>
        <v>3.2248654415631637</v>
      </c>
      <c r="Q122" s="37">
        <f t="shared" si="23"/>
        <v>0.31546239386002722</v>
      </c>
      <c r="R122" s="37"/>
      <c r="S122" s="33">
        <f t="shared" si="13"/>
        <v>89.161321326325904</v>
      </c>
    </row>
    <row r="123" spans="4:19" ht="13.2" x14ac:dyDescent="0.25">
      <c r="D123" s="32">
        <v>82</v>
      </c>
      <c r="E123" s="27">
        <f t="shared" si="10"/>
        <v>2.6654664372577623</v>
      </c>
      <c r="F123" s="28">
        <f t="shared" si="11"/>
        <v>1.2701066499250802</v>
      </c>
      <c r="G123" s="29">
        <f t="shared" si="12"/>
        <v>0</v>
      </c>
      <c r="H123" s="34">
        <f t="shared" si="14"/>
        <v>0</v>
      </c>
      <c r="I123" s="34">
        <f t="shared" si="15"/>
        <v>0</v>
      </c>
      <c r="J123" s="37">
        <f t="shared" si="16"/>
        <v>7.1201126314340807E-2</v>
      </c>
      <c r="K123" s="34">
        <f t="shared" si="17"/>
        <v>2.4896697973690163</v>
      </c>
      <c r="L123" s="37">
        <f t="shared" si="18"/>
        <v>11.771149074667351</v>
      </c>
      <c r="M123" s="34">
        <f t="shared" si="19"/>
        <v>51.083278894947142</v>
      </c>
      <c r="N123" s="37">
        <f t="shared" si="20"/>
        <v>14.763506123739498</v>
      </c>
      <c r="O123" s="37">
        <f t="shared" si="21"/>
        <v>7.6868375122731321</v>
      </c>
      <c r="P123" s="34">
        <f t="shared" si="22"/>
        <v>3.5831838239590708</v>
      </c>
      <c r="Q123" s="37">
        <f t="shared" si="23"/>
        <v>0.63092478772005445</v>
      </c>
      <c r="R123" s="37"/>
      <c r="S123" s="33">
        <f t="shared" si="13"/>
        <v>92.0797511409896</v>
      </c>
    </row>
    <row r="124" spans="4:19" ht="13.2" x14ac:dyDescent="0.25">
      <c r="D124" s="32">
        <v>83</v>
      </c>
      <c r="E124" s="27">
        <f t="shared" si="10"/>
        <v>2.6979721255170031</v>
      </c>
      <c r="F124" s="28">
        <f t="shared" si="11"/>
        <v>1.2010490895768271</v>
      </c>
      <c r="G124" s="29">
        <f t="shared" si="12"/>
        <v>0</v>
      </c>
      <c r="H124" s="34">
        <f t="shared" si="14"/>
        <v>0</v>
      </c>
      <c r="I124" s="34">
        <f t="shared" si="15"/>
        <v>0</v>
      </c>
      <c r="J124" s="37">
        <f t="shared" si="16"/>
        <v>6.9521537563766597E-2</v>
      </c>
      <c r="K124" s="34">
        <f t="shared" si="17"/>
        <v>2.440263744873203</v>
      </c>
      <c r="L124" s="37">
        <f t="shared" si="18"/>
        <v>11.569560687993365</v>
      </c>
      <c r="M124" s="34">
        <f t="shared" si="19"/>
        <v>52.58572827421029</v>
      </c>
      <c r="N124" s="37">
        <f t="shared" si="20"/>
        <v>15.331333282344863</v>
      </c>
      <c r="O124" s="37">
        <f t="shared" si="21"/>
        <v>8.1138840407327493</v>
      </c>
      <c r="P124" s="34">
        <f t="shared" si="22"/>
        <v>3.9415022063549769</v>
      </c>
      <c r="Q124" s="37">
        <f t="shared" si="23"/>
        <v>0.94638718158008173</v>
      </c>
      <c r="R124" s="37"/>
      <c r="S124" s="33">
        <f t="shared" si="13"/>
        <v>94.998180955653297</v>
      </c>
    </row>
    <row r="125" spans="4:19" ht="13.2" x14ac:dyDescent="0.25">
      <c r="D125" s="32">
        <v>84</v>
      </c>
      <c r="E125" s="27">
        <f t="shared" si="10"/>
        <v>2.7304778137762442</v>
      </c>
      <c r="F125" s="28">
        <f t="shared" si="11"/>
        <v>1.1319915292285723</v>
      </c>
      <c r="G125" s="29">
        <f t="shared" si="12"/>
        <v>0</v>
      </c>
      <c r="H125" s="34">
        <f t="shared" si="14"/>
        <v>0</v>
      </c>
      <c r="I125" s="34">
        <f t="shared" si="15"/>
        <v>0</v>
      </c>
      <c r="J125" s="37">
        <f t="shared" si="16"/>
        <v>6.7841948813192429E-2</v>
      </c>
      <c r="K125" s="34">
        <f t="shared" si="17"/>
        <v>2.3908576923773897</v>
      </c>
      <c r="L125" s="37">
        <f t="shared" si="18"/>
        <v>11.36797230131938</v>
      </c>
      <c r="M125" s="34">
        <f t="shared" si="19"/>
        <v>54.088177653473444</v>
      </c>
      <c r="N125" s="37">
        <f t="shared" si="20"/>
        <v>15.899160440950229</v>
      </c>
      <c r="O125" s="37">
        <f t="shared" si="21"/>
        <v>8.5409305691923691</v>
      </c>
      <c r="P125" s="34">
        <f t="shared" si="22"/>
        <v>4.2998205887508849</v>
      </c>
      <c r="Q125" s="37">
        <f t="shared" si="23"/>
        <v>1.2618495754401089</v>
      </c>
      <c r="R125" s="37"/>
      <c r="S125" s="33">
        <f t="shared" si="13"/>
        <v>97.916610770317007</v>
      </c>
    </row>
    <row r="126" spans="4:19" ht="13.2" x14ac:dyDescent="0.25">
      <c r="D126" s="32">
        <v>85</v>
      </c>
      <c r="E126" s="27">
        <f t="shared" si="10"/>
        <v>2.7629835020354849</v>
      </c>
      <c r="F126" s="28">
        <f t="shared" si="11"/>
        <v>1.0629339688803192</v>
      </c>
      <c r="G126" s="29">
        <f t="shared" si="12"/>
        <v>0</v>
      </c>
      <c r="H126" s="34">
        <f t="shared" si="14"/>
        <v>0</v>
      </c>
      <c r="I126" s="34">
        <f t="shared" si="15"/>
        <v>0</v>
      </c>
      <c r="J126" s="37">
        <f t="shared" si="16"/>
        <v>6.6162360062618233E-2</v>
      </c>
      <c r="K126" s="34">
        <f t="shared" si="17"/>
        <v>2.3414516398815768</v>
      </c>
      <c r="L126" s="37">
        <f t="shared" si="18"/>
        <v>11.166383914645394</v>
      </c>
      <c r="M126" s="34">
        <f t="shared" si="19"/>
        <v>55.590627032736585</v>
      </c>
      <c r="N126" s="37">
        <f t="shared" si="20"/>
        <v>16.466987599555594</v>
      </c>
      <c r="O126" s="37">
        <f t="shared" si="21"/>
        <v>8.9679770976519855</v>
      </c>
      <c r="P126" s="34">
        <f t="shared" si="22"/>
        <v>4.6581389711467915</v>
      </c>
      <c r="Q126" s="37">
        <f t="shared" si="23"/>
        <v>1.5773119693001363</v>
      </c>
      <c r="R126" s="37"/>
      <c r="S126" s="33">
        <f t="shared" si="13"/>
        <v>100.83504058498069</v>
      </c>
    </row>
    <row r="127" spans="4:19" ht="13.2" x14ac:dyDescent="0.25">
      <c r="D127" s="32">
        <v>86</v>
      </c>
      <c r="E127" s="27">
        <f t="shared" si="10"/>
        <v>2.7954891902947261</v>
      </c>
      <c r="F127" s="28">
        <f t="shared" si="11"/>
        <v>0.99387640853206527</v>
      </c>
      <c r="G127" s="29">
        <f t="shared" si="12"/>
        <v>0</v>
      </c>
      <c r="H127" s="34">
        <f t="shared" si="14"/>
        <v>0</v>
      </c>
      <c r="I127" s="34">
        <f t="shared" si="15"/>
        <v>0</v>
      </c>
      <c r="J127" s="37">
        <f t="shared" si="16"/>
        <v>6.4482771312044052E-2</v>
      </c>
      <c r="K127" s="34">
        <f t="shared" si="17"/>
        <v>2.2920455873857635</v>
      </c>
      <c r="L127" s="37">
        <f t="shared" si="18"/>
        <v>10.964795527971409</v>
      </c>
      <c r="M127" s="34">
        <f t="shared" si="19"/>
        <v>56.132228545500894</v>
      </c>
      <c r="N127" s="37">
        <f t="shared" si="20"/>
        <v>17.034814758160959</v>
      </c>
      <c r="O127" s="37">
        <f t="shared" si="21"/>
        <v>9.3950236261116036</v>
      </c>
      <c r="P127" s="34">
        <f t="shared" si="22"/>
        <v>5.0164573535426991</v>
      </c>
      <c r="Q127" s="37">
        <f t="shared" si="23"/>
        <v>1.8927743631601635</v>
      </c>
      <c r="R127" s="37"/>
      <c r="S127" s="33">
        <f t="shared" si="13"/>
        <v>102.79262253314555</v>
      </c>
    </row>
    <row r="128" spans="4:19" ht="13.2" x14ac:dyDescent="0.25">
      <c r="D128" s="32">
        <v>87</v>
      </c>
      <c r="E128" s="27">
        <f t="shared" si="10"/>
        <v>2.8279948785539673</v>
      </c>
      <c r="F128" s="28">
        <f t="shared" si="11"/>
        <v>0.92481884818381133</v>
      </c>
      <c r="G128" s="29">
        <f t="shared" si="12"/>
        <v>0</v>
      </c>
      <c r="H128" s="34">
        <f t="shared" si="14"/>
        <v>0</v>
      </c>
      <c r="I128" s="34">
        <f t="shared" si="15"/>
        <v>0</v>
      </c>
      <c r="J128" s="37">
        <f t="shared" si="16"/>
        <v>6.2803182561469884E-2</v>
      </c>
      <c r="K128" s="34">
        <f t="shared" si="17"/>
        <v>2.2426395348899502</v>
      </c>
      <c r="L128" s="37">
        <f t="shared" si="18"/>
        <v>10.763207141297425</v>
      </c>
      <c r="M128" s="34">
        <f t="shared" si="19"/>
        <v>55.232558258516981</v>
      </c>
      <c r="N128" s="37">
        <f t="shared" si="20"/>
        <v>17.602641916766327</v>
      </c>
      <c r="O128" s="37">
        <f t="shared" si="21"/>
        <v>9.8220701545712235</v>
      </c>
      <c r="P128" s="34">
        <f t="shared" si="22"/>
        <v>5.3747757359386057</v>
      </c>
      <c r="Q128" s="37">
        <f t="shared" si="23"/>
        <v>2.2082367570201908</v>
      </c>
      <c r="R128" s="37"/>
      <c r="S128" s="33">
        <f t="shared" si="13"/>
        <v>103.30893268156217</v>
      </c>
    </row>
    <row r="129" spans="4:19" ht="13.2" x14ac:dyDescent="0.25">
      <c r="D129" s="32">
        <v>88</v>
      </c>
      <c r="E129" s="27">
        <f t="shared" si="10"/>
        <v>2.860500566813208</v>
      </c>
      <c r="F129" s="28">
        <f t="shared" si="11"/>
        <v>0.85576128783555827</v>
      </c>
      <c r="G129" s="29">
        <f t="shared" si="12"/>
        <v>0</v>
      </c>
      <c r="H129" s="34">
        <f t="shared" si="14"/>
        <v>0</v>
      </c>
      <c r="I129" s="34">
        <f t="shared" si="15"/>
        <v>0</v>
      </c>
      <c r="J129" s="37">
        <f t="shared" si="16"/>
        <v>6.1123593810895688E-2</v>
      </c>
      <c r="K129" s="34">
        <f t="shared" si="17"/>
        <v>2.1932334823941368</v>
      </c>
      <c r="L129" s="37">
        <f t="shared" si="18"/>
        <v>10.561618754623439</v>
      </c>
      <c r="M129" s="34">
        <f t="shared" si="19"/>
        <v>54.332887971533061</v>
      </c>
      <c r="N129" s="37">
        <f t="shared" si="20"/>
        <v>18.170469075371688</v>
      </c>
      <c r="O129" s="37">
        <f t="shared" si="21"/>
        <v>10.249116683030842</v>
      </c>
      <c r="P129" s="34">
        <f t="shared" si="22"/>
        <v>5.7330941183345123</v>
      </c>
      <c r="Q129" s="37">
        <f t="shared" si="23"/>
        <v>2.5236991508802178</v>
      </c>
      <c r="R129" s="37">
        <f t="shared" ref="R129:R229" si="24">F41*$S$17</f>
        <v>0</v>
      </c>
      <c r="S129" s="33">
        <f t="shared" si="13"/>
        <v>103.82524282997879</v>
      </c>
    </row>
    <row r="130" spans="4:19" ht="13.2" x14ac:dyDescent="0.25">
      <c r="D130" s="32">
        <v>89</v>
      </c>
      <c r="E130" s="27">
        <f t="shared" si="10"/>
        <v>2.8930062550724491</v>
      </c>
      <c r="F130" s="28">
        <f t="shared" si="11"/>
        <v>0.78670372748730433</v>
      </c>
      <c r="G130" s="29">
        <f t="shared" si="12"/>
        <v>0</v>
      </c>
      <c r="H130" s="34">
        <f t="shared" si="14"/>
        <v>0</v>
      </c>
      <c r="I130" s="34">
        <f t="shared" si="15"/>
        <v>0</v>
      </c>
      <c r="J130" s="37">
        <f t="shared" si="16"/>
        <v>5.9444005060321499E-2</v>
      </c>
      <c r="K130" s="34">
        <f t="shared" si="17"/>
        <v>2.143827429898324</v>
      </c>
      <c r="L130" s="37">
        <f t="shared" si="18"/>
        <v>10.360030367949452</v>
      </c>
      <c r="M130" s="34">
        <f t="shared" si="19"/>
        <v>53.433217684549135</v>
      </c>
      <c r="N130" s="37">
        <f t="shared" si="20"/>
        <v>18.738296233977053</v>
      </c>
      <c r="O130" s="37">
        <f t="shared" si="21"/>
        <v>10.67616321149046</v>
      </c>
      <c r="P130" s="34">
        <f t="shared" si="22"/>
        <v>6.0914125007304207</v>
      </c>
      <c r="Q130" s="37">
        <f t="shared" si="23"/>
        <v>2.8391615447402452</v>
      </c>
      <c r="R130" s="37">
        <f t="shared" si="24"/>
        <v>0.28538589884758492</v>
      </c>
      <c r="S130" s="33">
        <f t="shared" si="13"/>
        <v>104.62693887724299</v>
      </c>
    </row>
    <row r="131" spans="4:19" ht="13.2" x14ac:dyDescent="0.25">
      <c r="D131" s="32">
        <v>90</v>
      </c>
      <c r="E131" s="27">
        <f t="shared" si="10"/>
        <v>2.9255119433316903</v>
      </c>
      <c r="F131" s="28">
        <f t="shared" si="11"/>
        <v>0.71764616713905038</v>
      </c>
      <c r="G131" s="29">
        <f t="shared" si="12"/>
        <v>0</v>
      </c>
      <c r="H131" s="34">
        <f t="shared" si="14"/>
        <v>0</v>
      </c>
      <c r="I131" s="34">
        <f t="shared" si="15"/>
        <v>0</v>
      </c>
      <c r="J131" s="37">
        <f t="shared" si="16"/>
        <v>5.7764416309747331E-2</v>
      </c>
      <c r="K131" s="34">
        <f t="shared" si="17"/>
        <v>2.0944213774025111</v>
      </c>
      <c r="L131" s="37">
        <f t="shared" si="18"/>
        <v>10.158441981275468</v>
      </c>
      <c r="M131" s="34">
        <f t="shared" si="19"/>
        <v>52.533547397565208</v>
      </c>
      <c r="N131" s="37">
        <f t="shared" si="20"/>
        <v>19.306123392582421</v>
      </c>
      <c r="O131" s="37">
        <f t="shared" si="21"/>
        <v>11.10320973995008</v>
      </c>
      <c r="P131" s="34">
        <f t="shared" si="22"/>
        <v>6.4497308831263274</v>
      </c>
      <c r="Q131" s="37">
        <f t="shared" si="23"/>
        <v>3.1546239386002726</v>
      </c>
      <c r="R131" s="37">
        <f t="shared" si="24"/>
        <v>0.57077179769516984</v>
      </c>
      <c r="S131" s="33">
        <f t="shared" si="13"/>
        <v>105.42863492450719</v>
      </c>
    </row>
    <row r="132" spans="4:19" ht="13.2" x14ac:dyDescent="0.25">
      <c r="D132" s="32">
        <v>91</v>
      </c>
      <c r="E132" s="27">
        <f t="shared" si="10"/>
        <v>2.958017631590931</v>
      </c>
      <c r="F132" s="28">
        <f t="shared" si="11"/>
        <v>0.64858860679079733</v>
      </c>
      <c r="G132" s="29">
        <f t="shared" si="12"/>
        <v>0</v>
      </c>
      <c r="H132" s="34">
        <f t="shared" si="14"/>
        <v>0</v>
      </c>
      <c r="I132" s="34">
        <f t="shared" si="15"/>
        <v>0</v>
      </c>
      <c r="J132" s="37">
        <f t="shared" si="16"/>
        <v>5.6084827559173135E-2</v>
      </c>
      <c r="K132" s="34">
        <f t="shared" si="17"/>
        <v>2.0450153249066974</v>
      </c>
      <c r="L132" s="37">
        <f t="shared" si="18"/>
        <v>9.9568535946014833</v>
      </c>
      <c r="M132" s="34">
        <f t="shared" si="19"/>
        <v>51.633877110581288</v>
      </c>
      <c r="N132" s="37">
        <f t="shared" si="20"/>
        <v>19.873950551187786</v>
      </c>
      <c r="O132" s="37">
        <f t="shared" si="21"/>
        <v>11.530256268409696</v>
      </c>
      <c r="P132" s="34">
        <f t="shared" si="22"/>
        <v>6.808049265522234</v>
      </c>
      <c r="Q132" s="37">
        <f t="shared" si="23"/>
        <v>3.4700863324602991</v>
      </c>
      <c r="R132" s="37">
        <f t="shared" si="24"/>
        <v>0.85615769654275486</v>
      </c>
      <c r="S132" s="33">
        <f t="shared" si="13"/>
        <v>106.23033097177141</v>
      </c>
    </row>
    <row r="133" spans="4:19" ht="13.2" x14ac:dyDescent="0.25">
      <c r="D133" s="38">
        <v>92</v>
      </c>
      <c r="E133" s="27">
        <f t="shared" si="10"/>
        <v>2.9905233198501722</v>
      </c>
      <c r="F133" s="28">
        <f t="shared" si="11"/>
        <v>0.57953104644254338</v>
      </c>
      <c r="G133" s="29">
        <f t="shared" si="12"/>
        <v>0</v>
      </c>
      <c r="H133" s="34">
        <f t="shared" si="14"/>
        <v>0</v>
      </c>
      <c r="I133" s="34">
        <f t="shared" si="15"/>
        <v>0</v>
      </c>
      <c r="J133" s="37">
        <f t="shared" si="16"/>
        <v>5.4405238808598946E-2</v>
      </c>
      <c r="K133" s="34">
        <f t="shared" si="17"/>
        <v>1.9956092724108845</v>
      </c>
      <c r="L133" s="37">
        <f t="shared" si="18"/>
        <v>9.7552652079274971</v>
      </c>
      <c r="M133" s="34">
        <f t="shared" si="19"/>
        <v>50.734206823597361</v>
      </c>
      <c r="N133" s="37">
        <f t="shared" si="20"/>
        <v>20.441777709793154</v>
      </c>
      <c r="O133" s="37">
        <f t="shared" si="21"/>
        <v>11.957302796869316</v>
      </c>
      <c r="P133" s="34">
        <f t="shared" si="22"/>
        <v>7.1663676479181415</v>
      </c>
      <c r="Q133" s="37">
        <f t="shared" si="23"/>
        <v>3.7855487263203269</v>
      </c>
      <c r="R133" s="37">
        <f t="shared" si="24"/>
        <v>1.1415435953903397</v>
      </c>
      <c r="S133" s="33">
        <f t="shared" si="13"/>
        <v>107.03202701903562</v>
      </c>
    </row>
    <row r="134" spans="4:19" ht="13.2" x14ac:dyDescent="0.25">
      <c r="D134" s="32">
        <v>93</v>
      </c>
      <c r="E134" s="27">
        <f t="shared" si="10"/>
        <v>3.0230290081094133</v>
      </c>
      <c r="F134" s="28">
        <f t="shared" si="11"/>
        <v>0.51047348609428944</v>
      </c>
      <c r="G134" s="29">
        <f t="shared" si="12"/>
        <v>0</v>
      </c>
      <c r="H134" s="34">
        <f t="shared" si="14"/>
        <v>0</v>
      </c>
      <c r="I134" s="34">
        <f t="shared" si="15"/>
        <v>0</v>
      </c>
      <c r="J134" s="37">
        <f t="shared" si="16"/>
        <v>5.2725650058024778E-2</v>
      </c>
      <c r="K134" s="34">
        <f t="shared" si="17"/>
        <v>1.9462032199150712</v>
      </c>
      <c r="L134" s="37">
        <f t="shared" si="18"/>
        <v>9.5536768212535108</v>
      </c>
      <c r="M134" s="34">
        <f t="shared" si="19"/>
        <v>49.834536536613442</v>
      </c>
      <c r="N134" s="37">
        <f t="shared" si="20"/>
        <v>21.009604868398515</v>
      </c>
      <c r="O134" s="37">
        <f t="shared" si="21"/>
        <v>12.384349325328934</v>
      </c>
      <c r="P134" s="34">
        <f t="shared" si="22"/>
        <v>7.5246860303140473</v>
      </c>
      <c r="Q134" s="37">
        <f t="shared" si="23"/>
        <v>4.1010111201803543</v>
      </c>
      <c r="R134" s="37">
        <f t="shared" si="24"/>
        <v>1.4269294942379249</v>
      </c>
      <c r="S134" s="33">
        <f t="shared" si="13"/>
        <v>107.83372306629983</v>
      </c>
    </row>
    <row r="135" spans="4:19" ht="13.2" x14ac:dyDescent="0.25">
      <c r="D135" s="38">
        <v>94</v>
      </c>
      <c r="E135" s="27">
        <f t="shared" si="10"/>
        <v>3.055534696368654</v>
      </c>
      <c r="F135" s="28">
        <f t="shared" si="11"/>
        <v>0.44141592574603639</v>
      </c>
      <c r="G135" s="29">
        <f t="shared" si="12"/>
        <v>0</v>
      </c>
      <c r="H135" s="34">
        <f t="shared" si="14"/>
        <v>0</v>
      </c>
      <c r="I135" s="34">
        <f t="shared" si="15"/>
        <v>0</v>
      </c>
      <c r="J135" s="37">
        <f t="shared" si="16"/>
        <v>5.104606130745059E-2</v>
      </c>
      <c r="K135" s="34">
        <f t="shared" si="17"/>
        <v>1.8967971674192579</v>
      </c>
      <c r="L135" s="37">
        <f t="shared" si="18"/>
        <v>9.3520884345795263</v>
      </c>
      <c r="M135" s="34">
        <f t="shared" si="19"/>
        <v>48.934866249629515</v>
      </c>
      <c r="N135" s="37">
        <f t="shared" si="20"/>
        <v>21.214294658506549</v>
      </c>
      <c r="O135" s="37">
        <f t="shared" si="21"/>
        <v>12.811395853788552</v>
      </c>
      <c r="P135" s="34">
        <f t="shared" si="22"/>
        <v>7.8830044127099539</v>
      </c>
      <c r="Q135" s="37">
        <f t="shared" si="23"/>
        <v>4.4164735140403817</v>
      </c>
      <c r="R135" s="37">
        <f t="shared" si="24"/>
        <v>1.7123153930855097</v>
      </c>
      <c r="S135" s="33">
        <f t="shared" si="13"/>
        <v>108.27228174506668</v>
      </c>
    </row>
    <row r="136" spans="4:19" ht="13.2" x14ac:dyDescent="0.25">
      <c r="D136" s="32">
        <v>95</v>
      </c>
      <c r="E136" s="27">
        <f t="shared" si="10"/>
        <v>3.0880403846278952</v>
      </c>
      <c r="F136" s="28">
        <f t="shared" si="11"/>
        <v>0.37235836539778244</v>
      </c>
      <c r="G136" s="29">
        <f t="shared" si="12"/>
        <v>0</v>
      </c>
      <c r="H136" s="34">
        <f t="shared" si="14"/>
        <v>0</v>
      </c>
      <c r="I136" s="34">
        <f t="shared" si="15"/>
        <v>0</v>
      </c>
      <c r="J136" s="37">
        <f t="shared" si="16"/>
        <v>4.9366472556876415E-2</v>
      </c>
      <c r="K136" s="34">
        <f t="shared" si="17"/>
        <v>1.847391114923445</v>
      </c>
      <c r="L136" s="37">
        <f t="shared" si="18"/>
        <v>9.1505000479055401</v>
      </c>
      <c r="M136" s="34">
        <f t="shared" si="19"/>
        <v>48.035195962645595</v>
      </c>
      <c r="N136" s="37">
        <f t="shared" si="20"/>
        <v>20.874278395868611</v>
      </c>
      <c r="O136" s="37">
        <f t="shared" si="21"/>
        <v>13.238442382248172</v>
      </c>
      <c r="P136" s="34">
        <f t="shared" si="22"/>
        <v>8.2413227951058623</v>
      </c>
      <c r="Q136" s="37">
        <f t="shared" si="23"/>
        <v>4.7319359079004082</v>
      </c>
      <c r="R136" s="37">
        <f t="shared" si="24"/>
        <v>1.9977012919330945</v>
      </c>
      <c r="S136" s="33">
        <f t="shared" si="13"/>
        <v>108.16613437108759</v>
      </c>
    </row>
    <row r="137" spans="4:19" ht="13.2" x14ac:dyDescent="0.25">
      <c r="D137" s="38">
        <v>96</v>
      </c>
      <c r="E137" s="27">
        <f t="shared" si="10"/>
        <v>3.1205460728871364</v>
      </c>
      <c r="F137" s="28">
        <f t="shared" si="11"/>
        <v>0.3033008050495285</v>
      </c>
      <c r="G137" s="29">
        <f t="shared" si="12"/>
        <v>0</v>
      </c>
      <c r="H137" s="34">
        <f t="shared" si="14"/>
        <v>0</v>
      </c>
      <c r="I137" s="34">
        <f t="shared" si="15"/>
        <v>0</v>
      </c>
      <c r="J137" s="37">
        <f t="shared" si="16"/>
        <v>4.7686883806302205E-2</v>
      </c>
      <c r="K137" s="34">
        <f t="shared" si="17"/>
        <v>1.7979850624276317</v>
      </c>
      <c r="L137" s="37">
        <f t="shared" si="18"/>
        <v>8.9489116612315538</v>
      </c>
      <c r="M137" s="34">
        <f t="shared" si="19"/>
        <v>47.135525675661668</v>
      </c>
      <c r="N137" s="37">
        <f t="shared" si="20"/>
        <v>20.534262133230669</v>
      </c>
      <c r="O137" s="37">
        <f t="shared" si="21"/>
        <v>13.66548891070779</v>
      </c>
      <c r="P137" s="34">
        <f t="shared" si="22"/>
        <v>8.5996411775017698</v>
      </c>
      <c r="Q137" s="37">
        <f t="shared" si="23"/>
        <v>5.0473983017604356</v>
      </c>
      <c r="R137" s="37">
        <f t="shared" si="24"/>
        <v>2.2830871907806793</v>
      </c>
      <c r="S137" s="33">
        <f t="shared" si="13"/>
        <v>108.0599869971085</v>
      </c>
    </row>
    <row r="138" spans="4:19" ht="13.2" x14ac:dyDescent="0.25">
      <c r="D138" s="32">
        <v>97</v>
      </c>
      <c r="E138" s="27">
        <f t="shared" si="10"/>
        <v>3.1530517611463771</v>
      </c>
      <c r="F138" s="28">
        <f t="shared" si="11"/>
        <v>0.23424324470127456</v>
      </c>
      <c r="G138" s="29">
        <f t="shared" si="12"/>
        <v>0</v>
      </c>
      <c r="H138" s="34">
        <f t="shared" si="14"/>
        <v>0</v>
      </c>
      <c r="I138" s="34">
        <f t="shared" si="15"/>
        <v>0</v>
      </c>
      <c r="J138" s="37">
        <f t="shared" si="16"/>
        <v>4.6007295055728016E-2</v>
      </c>
      <c r="K138" s="34">
        <f t="shared" si="17"/>
        <v>1.7485790099318184</v>
      </c>
      <c r="L138" s="37">
        <f t="shared" si="18"/>
        <v>8.7473232745575693</v>
      </c>
      <c r="M138" s="34">
        <f t="shared" si="19"/>
        <v>46.235855388677741</v>
      </c>
      <c r="N138" s="37">
        <f t="shared" si="20"/>
        <v>20.194245870592727</v>
      </c>
      <c r="O138" s="37">
        <f t="shared" si="21"/>
        <v>14.092535439167406</v>
      </c>
      <c r="P138" s="34">
        <f t="shared" si="22"/>
        <v>8.9579595598976756</v>
      </c>
      <c r="Q138" s="37">
        <f t="shared" si="23"/>
        <v>5.3628606956204639</v>
      </c>
      <c r="R138" s="37">
        <f t="shared" si="24"/>
        <v>2.5684730896282648</v>
      </c>
      <c r="S138" s="33">
        <f t="shared" si="13"/>
        <v>107.9538396231294</v>
      </c>
    </row>
    <row r="139" spans="4:19" ht="13.2" x14ac:dyDescent="0.25">
      <c r="D139" s="38">
        <v>98</v>
      </c>
      <c r="E139" s="27">
        <f t="shared" si="10"/>
        <v>3.1855574494056182</v>
      </c>
      <c r="F139" s="28">
        <f t="shared" si="11"/>
        <v>0.16518568435302061</v>
      </c>
      <c r="G139" s="29">
        <f t="shared" si="12"/>
        <v>0</v>
      </c>
      <c r="H139" s="34">
        <f t="shared" si="14"/>
        <v>0</v>
      </c>
      <c r="I139" s="34">
        <f t="shared" si="15"/>
        <v>0</v>
      </c>
      <c r="J139" s="37">
        <f t="shared" si="16"/>
        <v>4.4327706305153848E-2</v>
      </c>
      <c r="K139" s="34">
        <f t="shared" si="17"/>
        <v>1.6991729574360057</v>
      </c>
      <c r="L139" s="37">
        <f t="shared" si="18"/>
        <v>8.5457348878835866</v>
      </c>
      <c r="M139" s="34">
        <f t="shared" si="19"/>
        <v>45.336185101693822</v>
      </c>
      <c r="N139" s="37">
        <f t="shared" si="20"/>
        <v>19.854229607954782</v>
      </c>
      <c r="O139" s="37">
        <f t="shared" si="21"/>
        <v>14.519581967627028</v>
      </c>
      <c r="P139" s="34">
        <f t="shared" si="22"/>
        <v>9.3162779422935831</v>
      </c>
      <c r="Q139" s="37">
        <f t="shared" si="23"/>
        <v>5.6783230894804904</v>
      </c>
      <c r="R139" s="37">
        <f t="shared" si="24"/>
        <v>2.8538589884758498</v>
      </c>
      <c r="S139" s="33">
        <f t="shared" si="13"/>
        <v>107.8476922491503</v>
      </c>
    </row>
    <row r="140" spans="4:19" ht="13.2" x14ac:dyDescent="0.25">
      <c r="D140" s="32">
        <v>99</v>
      </c>
      <c r="E140" s="27">
        <f t="shared" si="10"/>
        <v>3.218063137664859</v>
      </c>
      <c r="F140" s="28">
        <f t="shared" si="11"/>
        <v>9.6128124004767557E-2</v>
      </c>
      <c r="G140" s="29">
        <f t="shared" si="12"/>
        <v>0</v>
      </c>
      <c r="H140" s="34">
        <f t="shared" si="14"/>
        <v>0</v>
      </c>
      <c r="I140" s="34">
        <f t="shared" si="15"/>
        <v>0</v>
      </c>
      <c r="J140" s="37">
        <f t="shared" si="16"/>
        <v>4.2648117554579652E-2</v>
      </c>
      <c r="K140" s="34">
        <f t="shared" si="17"/>
        <v>1.6497669049401924</v>
      </c>
      <c r="L140" s="37">
        <f t="shared" si="18"/>
        <v>8.3441465012095968</v>
      </c>
      <c r="M140" s="34">
        <f t="shared" si="19"/>
        <v>44.436514814709902</v>
      </c>
      <c r="N140" s="37">
        <f t="shared" si="20"/>
        <v>19.514213345316836</v>
      </c>
      <c r="O140" s="37">
        <f t="shared" si="21"/>
        <v>14.946628496086644</v>
      </c>
      <c r="P140" s="34">
        <f t="shared" si="22"/>
        <v>9.6745963246894888</v>
      </c>
      <c r="Q140" s="37">
        <f t="shared" si="23"/>
        <v>5.9937854833405169</v>
      </c>
      <c r="R140" s="37">
        <f t="shared" si="24"/>
        <v>3.139244887323434</v>
      </c>
      <c r="S140" s="33">
        <f t="shared" si="13"/>
        <v>107.74154487517119</v>
      </c>
    </row>
    <row r="141" spans="4:19" ht="13.2" x14ac:dyDescent="0.25">
      <c r="D141" s="15">
        <v>100</v>
      </c>
      <c r="E141" s="39">
        <f t="shared" si="10"/>
        <v>3.2505688259241001</v>
      </c>
      <c r="F141" s="36">
        <f t="shared" si="11"/>
        <v>2.7070563656513613E-2</v>
      </c>
      <c r="G141" s="29">
        <f t="shared" si="12"/>
        <v>0</v>
      </c>
      <c r="H141" s="34">
        <f t="shared" si="14"/>
        <v>0</v>
      </c>
      <c r="I141" s="34">
        <f t="shared" si="15"/>
        <v>0</v>
      </c>
      <c r="J141" s="37">
        <f t="shared" si="16"/>
        <v>4.0968528804005463E-2</v>
      </c>
      <c r="K141" s="34">
        <f t="shared" si="17"/>
        <v>1.6003608524443789</v>
      </c>
      <c r="L141" s="37">
        <f t="shared" si="18"/>
        <v>8.1425581145356141</v>
      </c>
      <c r="M141" s="34">
        <f t="shared" si="19"/>
        <v>43.536844527725975</v>
      </c>
      <c r="N141" s="37">
        <f t="shared" si="20"/>
        <v>19.174197082678894</v>
      </c>
      <c r="O141" s="37">
        <f t="shared" si="21"/>
        <v>15.373675024546264</v>
      </c>
      <c r="P141" s="34">
        <f t="shared" si="22"/>
        <v>10.032914707085398</v>
      </c>
      <c r="Q141" s="37">
        <f t="shared" si="23"/>
        <v>6.3092478772005451</v>
      </c>
      <c r="R141" s="37">
        <f t="shared" si="24"/>
        <v>3.4246307861710195</v>
      </c>
      <c r="S141" s="33">
        <f t="shared" si="13"/>
        <v>107.63539750119209</v>
      </c>
    </row>
    <row r="142" spans="4:19" ht="13.2" x14ac:dyDescent="0.25">
      <c r="D142" s="38">
        <v>101</v>
      </c>
      <c r="E142" s="39">
        <f t="shared" si="10"/>
        <v>3.2830745141833413</v>
      </c>
      <c r="G142" s="30"/>
      <c r="H142" s="34">
        <f t="shared" si="14"/>
        <v>0</v>
      </c>
      <c r="I142" s="34">
        <f t="shared" si="15"/>
        <v>0</v>
      </c>
      <c r="J142" s="37">
        <f t="shared" si="16"/>
        <v>3.9288940053431295E-2</v>
      </c>
      <c r="K142" s="34">
        <f t="shared" si="17"/>
        <v>1.5509547999485662</v>
      </c>
      <c r="L142" s="37">
        <f t="shared" si="18"/>
        <v>7.9409697278616278</v>
      </c>
      <c r="M142" s="34">
        <f t="shared" si="19"/>
        <v>42.637174240742056</v>
      </c>
      <c r="N142" s="37">
        <f t="shared" si="20"/>
        <v>18.834180820040949</v>
      </c>
      <c r="O142" s="37">
        <f t="shared" si="21"/>
        <v>15.80072155300588</v>
      </c>
      <c r="P142" s="34">
        <f t="shared" si="22"/>
        <v>10.391233089481304</v>
      </c>
      <c r="Q142" s="37">
        <f t="shared" si="23"/>
        <v>6.6247102710605716</v>
      </c>
      <c r="R142" s="37">
        <f t="shared" si="24"/>
        <v>3.7100166850186045</v>
      </c>
      <c r="S142" s="33">
        <f t="shared" si="13"/>
        <v>107.52925012721299</v>
      </c>
    </row>
    <row r="143" spans="4:19" ht="13.2" x14ac:dyDescent="0.25">
      <c r="D143" s="32">
        <v>102</v>
      </c>
      <c r="E143" s="39">
        <f t="shared" si="10"/>
        <v>3.315580202442582</v>
      </c>
      <c r="G143" s="30"/>
      <c r="H143" s="34">
        <f t="shared" si="14"/>
        <v>0</v>
      </c>
      <c r="I143" s="34">
        <f t="shared" si="15"/>
        <v>0</v>
      </c>
      <c r="J143" s="37">
        <f t="shared" si="16"/>
        <v>3.7609351302857107E-2</v>
      </c>
      <c r="K143" s="34">
        <f t="shared" si="17"/>
        <v>1.5015487474527529</v>
      </c>
      <c r="L143" s="37">
        <f t="shared" si="18"/>
        <v>7.7393813411876415</v>
      </c>
      <c r="M143" s="34">
        <f t="shared" si="19"/>
        <v>41.737503953758136</v>
      </c>
      <c r="N143" s="37">
        <f t="shared" si="20"/>
        <v>18.494164557403007</v>
      </c>
      <c r="O143" s="37">
        <f t="shared" si="21"/>
        <v>15.954662876438624</v>
      </c>
      <c r="P143" s="34">
        <f t="shared" si="22"/>
        <v>10.749551471877211</v>
      </c>
      <c r="Q143" s="37">
        <f t="shared" si="23"/>
        <v>6.9401726649205981</v>
      </c>
      <c r="R143" s="37">
        <f t="shared" si="24"/>
        <v>3.9954025838661891</v>
      </c>
      <c r="S143" s="33">
        <f t="shared" si="13"/>
        <v>107.14999754820701</v>
      </c>
    </row>
    <row r="144" spans="4:19" ht="13.2" x14ac:dyDescent="0.25">
      <c r="D144" s="15">
        <v>103</v>
      </c>
      <c r="E144" s="39">
        <f t="shared" si="10"/>
        <v>3.3480858907018232</v>
      </c>
      <c r="G144" s="30"/>
      <c r="H144" s="34">
        <f t="shared" si="14"/>
        <v>0</v>
      </c>
      <c r="I144" s="34">
        <f t="shared" si="15"/>
        <v>0</v>
      </c>
      <c r="J144" s="37">
        <f t="shared" si="16"/>
        <v>3.5929762552282911E-2</v>
      </c>
      <c r="K144" s="34">
        <f t="shared" si="17"/>
        <v>1.4521426949569403</v>
      </c>
      <c r="L144" s="37">
        <f t="shared" si="18"/>
        <v>7.5377929545136579</v>
      </c>
      <c r="M144" s="34">
        <f t="shared" si="19"/>
        <v>40.837833666774209</v>
      </c>
      <c r="N144" s="37">
        <f t="shared" si="20"/>
        <v>18.154148294765065</v>
      </c>
      <c r="O144" s="37">
        <f t="shared" si="21"/>
        <v>15.69894639233107</v>
      </c>
      <c r="P144" s="34">
        <f t="shared" si="22"/>
        <v>11.107869854273119</v>
      </c>
      <c r="Q144" s="37">
        <f t="shared" si="23"/>
        <v>7.2556350587806255</v>
      </c>
      <c r="R144" s="37">
        <f t="shared" si="24"/>
        <v>4.2807884827137741</v>
      </c>
      <c r="S144" s="33">
        <f t="shared" si="13"/>
        <v>106.36108716166073</v>
      </c>
    </row>
    <row r="145" spans="4:19" ht="13.2" x14ac:dyDescent="0.25">
      <c r="D145" s="38">
        <v>104</v>
      </c>
      <c r="E145" s="39">
        <f t="shared" si="10"/>
        <v>3.3805915789610643</v>
      </c>
      <c r="G145" s="30"/>
      <c r="H145" s="34">
        <f t="shared" si="14"/>
        <v>0</v>
      </c>
      <c r="I145" s="34">
        <f t="shared" si="15"/>
        <v>0</v>
      </c>
      <c r="J145" s="37">
        <f t="shared" si="16"/>
        <v>3.4250173801708743E-2</v>
      </c>
      <c r="K145" s="34">
        <f t="shared" si="17"/>
        <v>1.4027366424611263</v>
      </c>
      <c r="L145" s="37">
        <f t="shared" si="18"/>
        <v>7.3362045678396717</v>
      </c>
      <c r="M145" s="34">
        <f t="shared" si="19"/>
        <v>39.938163379790282</v>
      </c>
      <c r="N145" s="37">
        <f t="shared" si="20"/>
        <v>17.814132032127119</v>
      </c>
      <c r="O145" s="37">
        <f t="shared" si="21"/>
        <v>15.443229908223516</v>
      </c>
      <c r="P145" s="34">
        <f t="shared" si="22"/>
        <v>11.466188236669025</v>
      </c>
      <c r="Q145" s="37">
        <f t="shared" si="23"/>
        <v>7.5710974526406538</v>
      </c>
      <c r="R145" s="37">
        <f t="shared" si="24"/>
        <v>4.5661743815613587</v>
      </c>
      <c r="S145" s="33">
        <f t="shared" si="13"/>
        <v>105.57217677511446</v>
      </c>
    </row>
    <row r="146" spans="4:19" ht="13.2" x14ac:dyDescent="0.25">
      <c r="D146" s="32">
        <v>105</v>
      </c>
      <c r="E146" s="39">
        <f t="shared" si="10"/>
        <v>3.413097267220305</v>
      </c>
      <c r="G146" s="30"/>
      <c r="H146" s="34">
        <f t="shared" si="14"/>
        <v>0</v>
      </c>
      <c r="I146" s="34">
        <f t="shared" si="15"/>
        <v>0</v>
      </c>
      <c r="J146" s="37">
        <f t="shared" si="16"/>
        <v>3.2570585051134554E-2</v>
      </c>
      <c r="K146" s="34">
        <f t="shared" si="17"/>
        <v>1.3533305899653127</v>
      </c>
      <c r="L146" s="37">
        <f t="shared" si="18"/>
        <v>7.1346161811656854</v>
      </c>
      <c r="M146" s="34">
        <f t="shared" si="19"/>
        <v>39.038493092806362</v>
      </c>
      <c r="N146" s="37">
        <f t="shared" si="20"/>
        <v>17.474115769489174</v>
      </c>
      <c r="O146" s="37">
        <f t="shared" si="21"/>
        <v>15.187513424115959</v>
      </c>
      <c r="P146" s="34">
        <f t="shared" si="22"/>
        <v>11.824506619064932</v>
      </c>
      <c r="Q146" s="37">
        <f t="shared" si="23"/>
        <v>7.8865598465006803</v>
      </c>
      <c r="R146" s="37">
        <f t="shared" si="24"/>
        <v>4.8515602804089442</v>
      </c>
      <c r="S146" s="33">
        <f t="shared" si="13"/>
        <v>104.78326638856818</v>
      </c>
    </row>
    <row r="147" spans="4:19" ht="13.2" x14ac:dyDescent="0.25">
      <c r="D147" s="15">
        <v>106</v>
      </c>
      <c r="E147" s="39">
        <f t="shared" si="10"/>
        <v>3.4456029554795462</v>
      </c>
      <c r="G147" s="30"/>
      <c r="H147" s="34">
        <f t="shared" si="14"/>
        <v>0</v>
      </c>
      <c r="I147" s="34">
        <f t="shared" si="15"/>
        <v>0</v>
      </c>
      <c r="J147" s="37">
        <f t="shared" si="16"/>
        <v>3.0890996300560362E-2</v>
      </c>
      <c r="K147" s="34">
        <f t="shared" si="17"/>
        <v>1.3039245374695001</v>
      </c>
      <c r="L147" s="37">
        <f t="shared" si="18"/>
        <v>6.9330277944917018</v>
      </c>
      <c r="M147" s="34">
        <f t="shared" si="19"/>
        <v>38.13882280582245</v>
      </c>
      <c r="N147" s="37">
        <f t="shared" si="20"/>
        <v>17.134099506851232</v>
      </c>
      <c r="O147" s="37">
        <f t="shared" si="21"/>
        <v>14.931796940008404</v>
      </c>
      <c r="P147" s="34">
        <f t="shared" si="22"/>
        <v>12.182825001460841</v>
      </c>
      <c r="Q147" s="37">
        <f t="shared" si="23"/>
        <v>8.2020222403607086</v>
      </c>
      <c r="R147" s="37">
        <f t="shared" si="24"/>
        <v>5.1369461792565296</v>
      </c>
      <c r="S147" s="33">
        <f t="shared" si="13"/>
        <v>103.99435600202192</v>
      </c>
    </row>
    <row r="148" spans="4:19" ht="13.2" x14ac:dyDescent="0.25">
      <c r="D148" s="38">
        <v>107</v>
      </c>
      <c r="E148" s="39">
        <f t="shared" si="10"/>
        <v>3.4781086437387874</v>
      </c>
      <c r="G148" s="30"/>
      <c r="H148" s="34">
        <f t="shared" si="14"/>
        <v>0</v>
      </c>
      <c r="I148" s="34">
        <f t="shared" si="15"/>
        <v>0</v>
      </c>
      <c r="J148" s="37">
        <f t="shared" si="16"/>
        <v>2.9211407549986194E-2</v>
      </c>
      <c r="K148" s="34">
        <f t="shared" si="17"/>
        <v>1.2545184849736868</v>
      </c>
      <c r="L148" s="37">
        <f t="shared" si="18"/>
        <v>6.7314394078177164</v>
      </c>
      <c r="M148" s="34">
        <f t="shared" si="19"/>
        <v>37.239152518838509</v>
      </c>
      <c r="N148" s="37">
        <f t="shared" si="20"/>
        <v>16.79408324421329</v>
      </c>
      <c r="O148" s="37">
        <f t="shared" si="21"/>
        <v>14.676080455900847</v>
      </c>
      <c r="P148" s="34">
        <f t="shared" si="22"/>
        <v>12.541143383856747</v>
      </c>
      <c r="Q148" s="37">
        <f t="shared" si="23"/>
        <v>8.5174846342207342</v>
      </c>
      <c r="R148" s="37">
        <f t="shared" si="24"/>
        <v>5.4223320781041142</v>
      </c>
      <c r="S148" s="33">
        <f t="shared" si="13"/>
        <v>103.20544561547564</v>
      </c>
    </row>
    <row r="149" spans="4:19" ht="13.2" x14ac:dyDescent="0.25">
      <c r="D149" s="32">
        <v>108</v>
      </c>
      <c r="E149" s="39">
        <f t="shared" si="10"/>
        <v>3.5106143319980281</v>
      </c>
      <c r="G149" s="30"/>
      <c r="H149" s="34">
        <f t="shared" si="14"/>
        <v>0</v>
      </c>
      <c r="I149" s="34">
        <f t="shared" si="15"/>
        <v>0</v>
      </c>
      <c r="J149" s="37">
        <f t="shared" si="16"/>
        <v>2.7531818799411981E-2</v>
      </c>
      <c r="K149" s="34">
        <f t="shared" si="17"/>
        <v>1.2051124324778735</v>
      </c>
      <c r="L149" s="37">
        <f t="shared" si="18"/>
        <v>6.5298510211437302</v>
      </c>
      <c r="M149" s="34">
        <f t="shared" si="19"/>
        <v>36.339482231854596</v>
      </c>
      <c r="N149" s="37">
        <f t="shared" si="20"/>
        <v>16.454066981575345</v>
      </c>
      <c r="O149" s="37">
        <f t="shared" si="21"/>
        <v>14.420363971793291</v>
      </c>
      <c r="P149" s="34">
        <f t="shared" si="22"/>
        <v>12.899461766252655</v>
      </c>
      <c r="Q149" s="37">
        <f t="shared" si="23"/>
        <v>8.8329470280807634</v>
      </c>
      <c r="R149" s="37">
        <f t="shared" si="24"/>
        <v>5.7077179769516997</v>
      </c>
      <c r="S149" s="33">
        <f t="shared" si="13"/>
        <v>102.41653522892936</v>
      </c>
    </row>
    <row r="150" spans="4:19" ht="13.2" x14ac:dyDescent="0.25">
      <c r="D150" s="15">
        <v>109</v>
      </c>
      <c r="E150" s="39">
        <f t="shared" si="10"/>
        <v>3.5431200202572692</v>
      </c>
      <c r="G150" s="30"/>
      <c r="H150" s="34"/>
      <c r="I150" s="34">
        <f t="shared" si="15"/>
        <v>0</v>
      </c>
      <c r="J150" s="37">
        <f t="shared" si="16"/>
        <v>2.5852230048837813E-2</v>
      </c>
      <c r="K150" s="34">
        <f t="shared" si="17"/>
        <v>1.1557063799820606</v>
      </c>
      <c r="L150" s="37">
        <f t="shared" si="18"/>
        <v>6.3282626344697466</v>
      </c>
      <c r="M150" s="34">
        <f t="shared" si="19"/>
        <v>35.439811944870669</v>
      </c>
      <c r="N150" s="37">
        <f t="shared" si="20"/>
        <v>16.114050718937403</v>
      </c>
      <c r="O150" s="37">
        <f t="shared" si="21"/>
        <v>14.164647487685734</v>
      </c>
      <c r="P150" s="34">
        <f t="shared" si="22"/>
        <v>13.257780148648559</v>
      </c>
      <c r="Q150" s="37">
        <f t="shared" si="23"/>
        <v>9.148409421940789</v>
      </c>
      <c r="R150" s="37">
        <f t="shared" si="24"/>
        <v>5.9931038757992834</v>
      </c>
      <c r="S150" s="33">
        <f t="shared" si="13"/>
        <v>101.62762484238307</v>
      </c>
    </row>
    <row r="151" spans="4:19" ht="13.2" x14ac:dyDescent="0.25">
      <c r="D151" s="38">
        <v>110</v>
      </c>
      <c r="E151" s="39">
        <f t="shared" si="10"/>
        <v>3.57562570851651</v>
      </c>
      <c r="G151" s="30"/>
      <c r="H151" s="34"/>
      <c r="I151" s="34">
        <f t="shared" si="15"/>
        <v>0</v>
      </c>
      <c r="J151" s="37">
        <f t="shared" si="16"/>
        <v>2.417264129826362E-2</v>
      </c>
      <c r="K151" s="34">
        <f t="shared" si="17"/>
        <v>1.1063003274862473</v>
      </c>
      <c r="L151" s="37">
        <f t="shared" si="18"/>
        <v>6.1266742477957603</v>
      </c>
      <c r="M151" s="34">
        <f t="shared" si="19"/>
        <v>34.540141657886743</v>
      </c>
      <c r="N151" s="37">
        <f t="shared" si="20"/>
        <v>15.774034456299461</v>
      </c>
      <c r="O151" s="37">
        <f t="shared" si="21"/>
        <v>13.908931003578179</v>
      </c>
      <c r="P151" s="34">
        <f t="shared" si="22"/>
        <v>13.386946415835583</v>
      </c>
      <c r="Q151" s="37">
        <f t="shared" si="23"/>
        <v>9.4638718158008164</v>
      </c>
      <c r="R151" s="37">
        <f t="shared" si="24"/>
        <v>6.278489774646868</v>
      </c>
      <c r="S151" s="33">
        <f t="shared" si="13"/>
        <v>100.60956234062792</v>
      </c>
    </row>
    <row r="152" spans="4:19" ht="13.2" x14ac:dyDescent="0.25">
      <c r="D152" s="32">
        <v>111</v>
      </c>
      <c r="E152" s="39">
        <f t="shared" si="10"/>
        <v>3.6081313967757511</v>
      </c>
      <c r="G152" s="30"/>
      <c r="H152" s="30"/>
      <c r="I152" s="34">
        <f t="shared" si="15"/>
        <v>0</v>
      </c>
      <c r="J152" s="37">
        <f t="shared" si="16"/>
        <v>2.2493052547689428E-2</v>
      </c>
      <c r="K152" s="34">
        <f t="shared" si="17"/>
        <v>1.056894274990434</v>
      </c>
      <c r="L152" s="37">
        <f t="shared" si="18"/>
        <v>5.9250858611217767</v>
      </c>
      <c r="M152" s="34">
        <f t="shared" si="19"/>
        <v>33.64047137090283</v>
      </c>
      <c r="N152" s="37">
        <f t="shared" si="20"/>
        <v>15.434018193661517</v>
      </c>
      <c r="O152" s="37">
        <f t="shared" si="21"/>
        <v>13.653214519470623</v>
      </c>
      <c r="P152" s="34">
        <f t="shared" si="22"/>
        <v>13.172384510209294</v>
      </c>
      <c r="Q152" s="37">
        <f t="shared" si="23"/>
        <v>9.7793342096608455</v>
      </c>
      <c r="R152" s="37">
        <f t="shared" si="24"/>
        <v>6.5638756734944534</v>
      </c>
      <c r="S152" s="33">
        <f t="shared" si="13"/>
        <v>99.247771666059464</v>
      </c>
    </row>
    <row r="153" spans="4:19" ht="13.2" x14ac:dyDescent="0.25">
      <c r="D153" s="15">
        <v>112</v>
      </c>
      <c r="E153" s="39">
        <f t="shared" si="10"/>
        <v>3.6406370850349923</v>
      </c>
      <c r="G153" s="30"/>
      <c r="H153" s="30"/>
      <c r="I153" s="34">
        <f t="shared" si="15"/>
        <v>0</v>
      </c>
      <c r="J153" s="37">
        <f t="shared" si="16"/>
        <v>2.081346379711526E-2</v>
      </c>
      <c r="K153" s="34">
        <f t="shared" si="17"/>
        <v>1.0074882224946213</v>
      </c>
      <c r="L153" s="37">
        <f t="shared" si="18"/>
        <v>5.7234974744477878</v>
      </c>
      <c r="M153" s="34">
        <f t="shared" si="19"/>
        <v>32.740801083918903</v>
      </c>
      <c r="N153" s="37">
        <f t="shared" si="20"/>
        <v>15.094001931023572</v>
      </c>
      <c r="O153" s="37">
        <f t="shared" si="21"/>
        <v>13.397498035363066</v>
      </c>
      <c r="P153" s="34">
        <f t="shared" si="22"/>
        <v>12.957822604583004</v>
      </c>
      <c r="Q153" s="37">
        <f t="shared" si="23"/>
        <v>10.094796603520871</v>
      </c>
      <c r="R153" s="37">
        <f t="shared" si="24"/>
        <v>6.8492615723420389</v>
      </c>
      <c r="S153" s="33">
        <f t="shared" si="13"/>
        <v>97.885980991490982</v>
      </c>
    </row>
    <row r="154" spans="4:19" ht="13.2" x14ac:dyDescent="0.25">
      <c r="D154" s="38">
        <v>113</v>
      </c>
      <c r="E154" s="39">
        <f t="shared" si="10"/>
        <v>3.673142773294233</v>
      </c>
      <c r="G154" s="30"/>
      <c r="H154" s="30"/>
      <c r="I154" s="34">
        <f t="shared" si="15"/>
        <v>0</v>
      </c>
      <c r="J154" s="37">
        <f t="shared" si="16"/>
        <v>1.9133875046541071E-2</v>
      </c>
      <c r="K154" s="34">
        <f t="shared" si="17"/>
        <v>0.95808216999880791</v>
      </c>
      <c r="L154" s="37">
        <f t="shared" si="18"/>
        <v>5.5219090877738015</v>
      </c>
      <c r="M154" s="34">
        <f t="shared" si="19"/>
        <v>31.841130796934976</v>
      </c>
      <c r="N154" s="37">
        <f t="shared" si="20"/>
        <v>14.75398566838563</v>
      </c>
      <c r="O154" s="37">
        <f t="shared" si="21"/>
        <v>13.141781551255511</v>
      </c>
      <c r="P154" s="34">
        <f t="shared" si="22"/>
        <v>12.743260698956712</v>
      </c>
      <c r="Q154" s="37">
        <f t="shared" si="23"/>
        <v>10.410258997380899</v>
      </c>
      <c r="R154" s="37">
        <f t="shared" si="24"/>
        <v>7.1346474711896235</v>
      </c>
      <c r="S154" s="33">
        <f t="shared" si="13"/>
        <v>96.5241903169225</v>
      </c>
    </row>
    <row r="155" spans="4:19" ht="13.2" x14ac:dyDescent="0.25">
      <c r="D155" s="32">
        <v>114</v>
      </c>
      <c r="E155" s="39">
        <f t="shared" si="10"/>
        <v>3.7056484615534742</v>
      </c>
      <c r="G155" s="30"/>
      <c r="H155" s="30"/>
      <c r="I155" s="34">
        <f t="shared" si="15"/>
        <v>0</v>
      </c>
      <c r="J155" s="37">
        <f t="shared" si="16"/>
        <v>1.7454286295966879E-2</v>
      </c>
      <c r="K155" s="34">
        <f t="shared" si="17"/>
        <v>0.9086761175029946</v>
      </c>
      <c r="L155" s="37">
        <f t="shared" si="18"/>
        <v>5.3203207010998179</v>
      </c>
      <c r="M155" s="34">
        <f t="shared" si="19"/>
        <v>30.941460509951064</v>
      </c>
      <c r="N155" s="37">
        <f t="shared" si="20"/>
        <v>14.413969405747689</v>
      </c>
      <c r="O155" s="37">
        <f t="shared" si="21"/>
        <v>12.886065067147955</v>
      </c>
      <c r="P155" s="34">
        <f t="shared" si="22"/>
        <v>12.528698793330419</v>
      </c>
      <c r="Q155" s="37">
        <f t="shared" si="23"/>
        <v>10.725721391240928</v>
      </c>
      <c r="R155" s="37">
        <f t="shared" si="24"/>
        <v>7.420033370037209</v>
      </c>
      <c r="S155" s="33">
        <f t="shared" si="13"/>
        <v>95.162399642354032</v>
      </c>
    </row>
    <row r="156" spans="4:19" ht="13.2" x14ac:dyDescent="0.25">
      <c r="D156" s="15">
        <v>115</v>
      </c>
      <c r="E156" s="39">
        <f t="shared" si="10"/>
        <v>3.7381541498127153</v>
      </c>
      <c r="G156" s="30"/>
      <c r="H156" s="30"/>
      <c r="I156" s="34">
        <f t="shared" si="15"/>
        <v>0</v>
      </c>
      <c r="J156" s="37">
        <f t="shared" si="16"/>
        <v>1.5774697545392711E-2</v>
      </c>
      <c r="K156" s="34">
        <f t="shared" si="17"/>
        <v>0.85927006500718184</v>
      </c>
      <c r="L156" s="37">
        <f t="shared" si="18"/>
        <v>5.1187323144258325</v>
      </c>
      <c r="M156" s="34">
        <f t="shared" si="19"/>
        <v>30.041790222967137</v>
      </c>
      <c r="N156" s="37">
        <f t="shared" si="20"/>
        <v>14.07395314310974</v>
      </c>
      <c r="O156" s="37">
        <f t="shared" si="21"/>
        <v>12.6303485830404</v>
      </c>
      <c r="P156" s="34">
        <f t="shared" si="22"/>
        <v>12.314136887704127</v>
      </c>
      <c r="Q156" s="37">
        <f t="shared" si="23"/>
        <v>11.041183785100953</v>
      </c>
      <c r="R156" s="37">
        <f t="shared" si="24"/>
        <v>7.7054192688847927</v>
      </c>
      <c r="S156" s="33">
        <f t="shared" si="13"/>
        <v>93.800608967785564</v>
      </c>
    </row>
    <row r="157" spans="4:19" ht="13.2" x14ac:dyDescent="0.25">
      <c r="D157" s="38">
        <v>116</v>
      </c>
      <c r="E157" s="39">
        <f t="shared" si="10"/>
        <v>3.770659838071956</v>
      </c>
      <c r="G157" s="30"/>
      <c r="H157" s="30"/>
      <c r="I157" s="34">
        <f t="shared" si="15"/>
        <v>0</v>
      </c>
      <c r="J157" s="37">
        <f t="shared" si="16"/>
        <v>1.4095108794818519E-2</v>
      </c>
      <c r="K157" s="34">
        <f t="shared" si="17"/>
        <v>0.80986401251136786</v>
      </c>
      <c r="L157" s="37">
        <f t="shared" si="18"/>
        <v>4.9171439277518463</v>
      </c>
      <c r="M157" s="34">
        <f t="shared" si="19"/>
        <v>29.14211993598321</v>
      </c>
      <c r="N157" s="37">
        <f t="shared" si="20"/>
        <v>13.7339368804718</v>
      </c>
      <c r="O157" s="37">
        <f t="shared" si="21"/>
        <v>12.374632098932842</v>
      </c>
      <c r="P157" s="34">
        <f t="shared" si="22"/>
        <v>12.099574982077835</v>
      </c>
      <c r="Q157" s="37">
        <f t="shared" si="23"/>
        <v>11.356646178960981</v>
      </c>
      <c r="R157" s="37">
        <f t="shared" si="24"/>
        <v>7.9908051677323781</v>
      </c>
      <c r="S157" s="33">
        <f t="shared" si="13"/>
        <v>92.438818293217082</v>
      </c>
    </row>
    <row r="158" spans="4:19" ht="13.2" x14ac:dyDescent="0.25">
      <c r="D158" s="32">
        <v>117</v>
      </c>
      <c r="E158" s="39">
        <f t="shared" si="10"/>
        <v>3.8031655263311972</v>
      </c>
      <c r="G158" s="30"/>
      <c r="H158" s="30"/>
      <c r="I158" s="34"/>
      <c r="J158" s="37">
        <f t="shared" si="16"/>
        <v>1.2415520044244328E-2</v>
      </c>
      <c r="K158" s="34">
        <f t="shared" si="17"/>
        <v>0.76045796001555521</v>
      </c>
      <c r="L158" s="37">
        <f t="shared" si="18"/>
        <v>4.7155555410778627</v>
      </c>
      <c r="M158" s="34">
        <f t="shared" si="19"/>
        <v>28.242449648999294</v>
      </c>
      <c r="N158" s="37">
        <f t="shared" si="20"/>
        <v>13.393920617833855</v>
      </c>
      <c r="O158" s="37">
        <f t="shared" si="21"/>
        <v>12.118915614825287</v>
      </c>
      <c r="P158" s="34">
        <f t="shared" si="22"/>
        <v>11.885013076451543</v>
      </c>
      <c r="Q158" s="37">
        <f t="shared" si="23"/>
        <v>11.672108572821006</v>
      </c>
      <c r="R158" s="37">
        <f t="shared" si="24"/>
        <v>8.2761910665799636</v>
      </c>
      <c r="S158" s="33">
        <f t="shared" si="13"/>
        <v>91.077027618648614</v>
      </c>
    </row>
    <row r="159" spans="4:19" ht="13.2" x14ac:dyDescent="0.25">
      <c r="D159" s="15">
        <v>118</v>
      </c>
      <c r="E159" s="39">
        <f t="shared" si="10"/>
        <v>3.8356712145904384</v>
      </c>
      <c r="G159" s="30"/>
      <c r="H159" s="30"/>
      <c r="I159" s="34"/>
      <c r="J159" s="37">
        <f t="shared" si="16"/>
        <v>1.0735931293670158E-2</v>
      </c>
      <c r="K159" s="34">
        <f t="shared" si="17"/>
        <v>0.71105190751974179</v>
      </c>
      <c r="L159" s="37">
        <f t="shared" si="18"/>
        <v>4.5139671544038764</v>
      </c>
      <c r="M159" s="34">
        <f t="shared" si="19"/>
        <v>27.342779362015367</v>
      </c>
      <c r="N159" s="37">
        <f t="shared" si="20"/>
        <v>13.053904355195911</v>
      </c>
      <c r="O159" s="37">
        <f t="shared" si="21"/>
        <v>11.863199130717732</v>
      </c>
      <c r="P159" s="34">
        <f t="shared" si="22"/>
        <v>11.670451170825253</v>
      </c>
      <c r="Q159" s="37">
        <f t="shared" si="23"/>
        <v>11.785826154320247</v>
      </c>
      <c r="R159" s="37">
        <f t="shared" si="24"/>
        <v>8.5615769654275482</v>
      </c>
      <c r="S159" s="33">
        <f t="shared" si="13"/>
        <v>89.513492131719346</v>
      </c>
    </row>
    <row r="160" spans="4:19" ht="13.2" x14ac:dyDescent="0.25">
      <c r="D160" s="38">
        <v>119</v>
      </c>
      <c r="E160" s="39">
        <f t="shared" si="10"/>
        <v>3.8681769028496791</v>
      </c>
      <c r="G160" s="30"/>
      <c r="H160" s="30"/>
      <c r="I160" s="34"/>
      <c r="J160" s="37">
        <f t="shared" si="16"/>
        <v>9.0563425430959677E-3</v>
      </c>
      <c r="K160" s="34">
        <f t="shared" si="17"/>
        <v>0.66164585502392848</v>
      </c>
      <c r="L160" s="37">
        <f t="shared" si="18"/>
        <v>4.3123787677298901</v>
      </c>
      <c r="M160" s="34">
        <f t="shared" si="19"/>
        <v>26.443109075031455</v>
      </c>
      <c r="N160" s="37">
        <f t="shared" si="20"/>
        <v>12.713888092557971</v>
      </c>
      <c r="O160" s="37">
        <f t="shared" si="21"/>
        <v>11.607482646610174</v>
      </c>
      <c r="P160" s="34">
        <f t="shared" si="22"/>
        <v>11.455889265198961</v>
      </c>
      <c r="Q160" s="37">
        <f t="shared" si="23"/>
        <v>11.596926517278316</v>
      </c>
      <c r="R160" s="37">
        <f t="shared" si="24"/>
        <v>8.8469628642751346</v>
      </c>
      <c r="S160" s="33">
        <f t="shared" si="13"/>
        <v>87.647339426248919</v>
      </c>
    </row>
    <row r="161" spans="4:19" ht="13.2" x14ac:dyDescent="0.25">
      <c r="D161" s="32">
        <v>120</v>
      </c>
      <c r="E161" s="39">
        <f t="shared" si="10"/>
        <v>3.9006825911089202</v>
      </c>
      <c r="G161" s="30"/>
      <c r="H161" s="30"/>
      <c r="I161" s="34"/>
      <c r="J161" s="37">
        <f t="shared" si="16"/>
        <v>7.3767537925217772E-3</v>
      </c>
      <c r="K161" s="34">
        <f t="shared" si="17"/>
        <v>0.61223980252811572</v>
      </c>
      <c r="L161" s="37">
        <f t="shared" si="18"/>
        <v>4.1107903810559066</v>
      </c>
      <c r="M161" s="34">
        <f t="shared" si="19"/>
        <v>25.543438788047517</v>
      </c>
      <c r="N161" s="37">
        <f t="shared" si="20"/>
        <v>12.373871829920025</v>
      </c>
      <c r="O161" s="37">
        <f t="shared" si="21"/>
        <v>11.351766162502617</v>
      </c>
      <c r="P161" s="34">
        <f t="shared" si="22"/>
        <v>11.241327359572669</v>
      </c>
      <c r="Q161" s="37">
        <f t="shared" si="23"/>
        <v>11.408026880236385</v>
      </c>
      <c r="R161" s="37">
        <f t="shared" si="24"/>
        <v>9.1323487631227174</v>
      </c>
      <c r="S161" s="33">
        <f t="shared" si="13"/>
        <v>85.781186720778479</v>
      </c>
    </row>
    <row r="162" spans="4:19" ht="13.2" x14ac:dyDescent="0.25">
      <c r="D162" s="15">
        <v>121</v>
      </c>
      <c r="E162" s="39">
        <f t="shared" si="10"/>
        <v>3.9331882793681614</v>
      </c>
      <c r="G162" s="30"/>
      <c r="H162" s="30"/>
      <c r="I162" s="30"/>
      <c r="J162" s="37">
        <f t="shared" si="16"/>
        <v>5.6971650419475866E-3</v>
      </c>
      <c r="K162" s="34">
        <f t="shared" si="17"/>
        <v>0.5628337500323024</v>
      </c>
      <c r="L162" s="37">
        <f t="shared" si="18"/>
        <v>3.9092019943819207</v>
      </c>
      <c r="M162" s="34">
        <f t="shared" si="19"/>
        <v>24.64376850106359</v>
      </c>
      <c r="N162" s="37">
        <f t="shared" si="20"/>
        <v>12.033855567282082</v>
      </c>
      <c r="O162" s="37">
        <f t="shared" si="21"/>
        <v>11.096049678395064</v>
      </c>
      <c r="P162" s="34">
        <f t="shared" si="22"/>
        <v>11.026765453946377</v>
      </c>
      <c r="Q162" s="37">
        <f t="shared" si="23"/>
        <v>11.219127243194452</v>
      </c>
      <c r="R162" s="37">
        <f t="shared" si="24"/>
        <v>9.417734661970302</v>
      </c>
      <c r="S162" s="33">
        <f t="shared" si="13"/>
        <v>83.915034015308038</v>
      </c>
    </row>
    <row r="163" spans="4:19" ht="13.2" x14ac:dyDescent="0.25">
      <c r="D163" s="38">
        <v>122</v>
      </c>
      <c r="E163" s="39">
        <f t="shared" si="10"/>
        <v>3.9656939676274021</v>
      </c>
      <c r="G163" s="30"/>
      <c r="H163" s="30"/>
      <c r="I163" s="30"/>
      <c r="J163" s="37">
        <f t="shared" si="16"/>
        <v>4.017576291373396E-3</v>
      </c>
      <c r="K163" s="34">
        <f t="shared" si="17"/>
        <v>0.51342769753648909</v>
      </c>
      <c r="L163" s="37">
        <f t="shared" si="18"/>
        <v>3.7076136077079345</v>
      </c>
      <c r="M163" s="34">
        <f t="shared" si="19"/>
        <v>23.744098214079674</v>
      </c>
      <c r="N163" s="37">
        <f t="shared" si="20"/>
        <v>11.693839304644142</v>
      </c>
      <c r="O163" s="37">
        <f t="shared" si="21"/>
        <v>10.84033319428751</v>
      </c>
      <c r="P163" s="34">
        <f t="shared" si="22"/>
        <v>10.812203548320085</v>
      </c>
      <c r="Q163" s="37">
        <f t="shared" si="23"/>
        <v>11.030227606152518</v>
      </c>
      <c r="R163" s="37">
        <f t="shared" si="24"/>
        <v>9.7031205608178883</v>
      </c>
      <c r="S163" s="33">
        <f t="shared" si="13"/>
        <v>82.048881309837626</v>
      </c>
    </row>
    <row r="164" spans="4:19" ht="13.2" x14ac:dyDescent="0.25">
      <c r="D164" s="32">
        <v>123</v>
      </c>
      <c r="E164" s="39">
        <f t="shared" si="10"/>
        <v>3.9981996558866433</v>
      </c>
      <c r="G164" s="30"/>
      <c r="H164" s="30"/>
      <c r="I164" s="30"/>
      <c r="J164" s="37">
        <f t="shared" si="16"/>
        <v>2.3379875407992267E-3</v>
      </c>
      <c r="K164" s="34">
        <f t="shared" si="17"/>
        <v>0.46402164504067633</v>
      </c>
      <c r="L164" s="37">
        <f t="shared" si="18"/>
        <v>3.5060252210339509</v>
      </c>
      <c r="M164" s="34">
        <f t="shared" si="19"/>
        <v>22.844427927095751</v>
      </c>
      <c r="N164" s="37">
        <f t="shared" si="20"/>
        <v>11.353823042006196</v>
      </c>
      <c r="O164" s="37">
        <f t="shared" si="21"/>
        <v>10.584616710179949</v>
      </c>
      <c r="P164" s="34">
        <f t="shared" si="22"/>
        <v>10.597641642693794</v>
      </c>
      <c r="Q164" s="37">
        <f t="shared" si="23"/>
        <v>10.841327969110585</v>
      </c>
      <c r="R164" s="37">
        <f t="shared" si="24"/>
        <v>9.9885064596654729</v>
      </c>
      <c r="S164" s="33">
        <f t="shared" si="13"/>
        <v>80.182728604367171</v>
      </c>
    </row>
    <row r="165" spans="4:19" ht="13.2" x14ac:dyDescent="0.25">
      <c r="D165" s="15">
        <v>124</v>
      </c>
      <c r="E165" s="39">
        <f t="shared" si="10"/>
        <v>4.0307053441458844</v>
      </c>
      <c r="G165" s="30"/>
      <c r="H165" s="30"/>
      <c r="I165" s="30"/>
      <c r="J165" s="37">
        <f t="shared" si="16"/>
        <v>6.5839879022503583E-4</v>
      </c>
      <c r="K165" s="34">
        <f t="shared" si="17"/>
        <v>0.41461559254486297</v>
      </c>
      <c r="L165" s="37">
        <f t="shared" si="18"/>
        <v>3.3044368343599619</v>
      </c>
      <c r="M165" s="34">
        <f t="shared" si="19"/>
        <v>21.944757640111824</v>
      </c>
      <c r="N165" s="37">
        <f t="shared" si="20"/>
        <v>11.013806779368252</v>
      </c>
      <c r="O165" s="37">
        <f t="shared" si="21"/>
        <v>10.328900226072395</v>
      </c>
      <c r="P165" s="34">
        <f t="shared" si="22"/>
        <v>10.383079737067501</v>
      </c>
      <c r="Q165" s="37">
        <f t="shared" si="23"/>
        <v>10.652428332068654</v>
      </c>
      <c r="R165" s="37">
        <f t="shared" si="24"/>
        <v>10.273892358513059</v>
      </c>
      <c r="S165" s="33">
        <f t="shared" si="13"/>
        <v>78.31657589889673</v>
      </c>
    </row>
    <row r="166" spans="4:19" ht="13.2" x14ac:dyDescent="0.25">
      <c r="D166" s="38">
        <v>125</v>
      </c>
      <c r="E166" s="39">
        <f t="shared" si="10"/>
        <v>4.0632110324051256</v>
      </c>
      <c r="G166" s="30"/>
      <c r="H166" s="30"/>
      <c r="I166" s="30"/>
      <c r="J166" s="30"/>
      <c r="K166" s="34">
        <f t="shared" si="17"/>
        <v>0.36520954004904965</v>
      </c>
      <c r="L166" s="37">
        <f t="shared" si="18"/>
        <v>3.1028484476859788</v>
      </c>
      <c r="M166" s="34">
        <f t="shared" si="19"/>
        <v>21.045087353127908</v>
      </c>
      <c r="N166" s="37">
        <f t="shared" si="20"/>
        <v>10.673790516730312</v>
      </c>
      <c r="O166" s="37">
        <f t="shared" si="21"/>
        <v>10.073183741964838</v>
      </c>
      <c r="P166" s="34">
        <f t="shared" si="22"/>
        <v>10.168517831441211</v>
      </c>
      <c r="Q166" s="37">
        <f t="shared" si="23"/>
        <v>10.463528695026721</v>
      </c>
      <c r="R166" s="37">
        <f t="shared" si="24"/>
        <v>10.559278257360642</v>
      </c>
      <c r="S166" s="33">
        <f t="shared" si="13"/>
        <v>76.451444383386672</v>
      </c>
    </row>
    <row r="167" spans="4:19" ht="13.2" x14ac:dyDescent="0.25">
      <c r="D167" s="32">
        <v>126</v>
      </c>
      <c r="E167" s="39">
        <f t="shared" si="10"/>
        <v>4.0957167206643659</v>
      </c>
      <c r="G167" s="30"/>
      <c r="H167" s="30"/>
      <c r="I167" s="30"/>
      <c r="J167" s="30"/>
      <c r="K167" s="34">
        <f t="shared" si="17"/>
        <v>0.31580348755323689</v>
      </c>
      <c r="L167" s="37">
        <f t="shared" si="18"/>
        <v>2.9012600610119925</v>
      </c>
      <c r="M167" s="34">
        <f t="shared" si="19"/>
        <v>20.145417066143981</v>
      </c>
      <c r="N167" s="37">
        <f t="shared" si="20"/>
        <v>10.333774254092367</v>
      </c>
      <c r="O167" s="37">
        <f t="shared" si="21"/>
        <v>9.817467257857281</v>
      </c>
      <c r="P167" s="34">
        <f t="shared" si="22"/>
        <v>9.9539559258149186</v>
      </c>
      <c r="Q167" s="37">
        <f t="shared" si="23"/>
        <v>10.274629057984788</v>
      </c>
      <c r="R167" s="37">
        <f t="shared" si="24"/>
        <v>10.662153892753601</v>
      </c>
      <c r="S167" s="33">
        <f t="shared" si="13"/>
        <v>74.404461003212162</v>
      </c>
    </row>
    <row r="168" spans="4:19" ht="13.2" x14ac:dyDescent="0.25">
      <c r="D168" s="15">
        <v>127</v>
      </c>
      <c r="E168" s="39">
        <f t="shared" si="10"/>
        <v>4.128222408923607</v>
      </c>
      <c r="G168" s="30"/>
      <c r="H168" s="30"/>
      <c r="I168" s="30"/>
      <c r="J168" s="30"/>
      <c r="K168" s="34">
        <f t="shared" si="17"/>
        <v>0.26639743505742358</v>
      </c>
      <c r="L168" s="37">
        <f t="shared" si="18"/>
        <v>2.6996716743380063</v>
      </c>
      <c r="M168" s="34">
        <f t="shared" si="19"/>
        <v>19.245746779160054</v>
      </c>
      <c r="N168" s="37">
        <f t="shared" si="20"/>
        <v>9.9937579914544266</v>
      </c>
      <c r="O168" s="37">
        <f t="shared" si="21"/>
        <v>9.5617507737497274</v>
      </c>
      <c r="P168" s="34">
        <f t="shared" si="22"/>
        <v>9.7393940201886267</v>
      </c>
      <c r="Q168" s="37">
        <f t="shared" si="23"/>
        <v>10.085729420942856</v>
      </c>
      <c r="R168" s="37">
        <f t="shared" si="24"/>
        <v>10.491264132964629</v>
      </c>
      <c r="S168" s="33">
        <f t="shared" si="13"/>
        <v>72.083712227855742</v>
      </c>
    </row>
    <row r="169" spans="4:19" ht="13.2" x14ac:dyDescent="0.25">
      <c r="D169" s="38">
        <v>128</v>
      </c>
      <c r="E169" s="39">
        <f t="shared" si="10"/>
        <v>4.1607280971828482</v>
      </c>
      <c r="G169" s="30"/>
      <c r="H169" s="30"/>
      <c r="I169" s="30"/>
      <c r="J169" s="30"/>
      <c r="K169" s="34">
        <f t="shared" si="17"/>
        <v>0.21699138256161021</v>
      </c>
      <c r="L169" s="37">
        <f t="shared" si="18"/>
        <v>2.4980832876640227</v>
      </c>
      <c r="M169" s="34">
        <f t="shared" si="19"/>
        <v>18.346076492176142</v>
      </c>
      <c r="N169" s="37">
        <f t="shared" si="20"/>
        <v>9.6537417288164775</v>
      </c>
      <c r="O169" s="37">
        <f t="shared" si="21"/>
        <v>9.3060342896421702</v>
      </c>
      <c r="P169" s="34">
        <f t="shared" si="22"/>
        <v>9.5248321145623347</v>
      </c>
      <c r="Q169" s="37">
        <f t="shared" si="23"/>
        <v>9.8968297839009232</v>
      </c>
      <c r="R169" s="37">
        <f t="shared" si="24"/>
        <v>10.320374373175659</v>
      </c>
      <c r="S169" s="33">
        <f t="shared" si="13"/>
        <v>69.762963452499335</v>
      </c>
    </row>
    <row r="170" spans="4:19" ht="13.2" x14ac:dyDescent="0.25">
      <c r="D170" s="32">
        <v>129</v>
      </c>
      <c r="E170" s="39">
        <f t="shared" si="10"/>
        <v>4.1932337854420894</v>
      </c>
      <c r="G170" s="30"/>
      <c r="H170" s="30"/>
      <c r="I170" s="30"/>
      <c r="J170" s="30"/>
      <c r="K170" s="34">
        <f t="shared" si="17"/>
        <v>0.16758533006579687</v>
      </c>
      <c r="L170" s="37">
        <f t="shared" si="18"/>
        <v>2.2964949009900368</v>
      </c>
      <c r="M170" s="34">
        <f t="shared" si="19"/>
        <v>17.446406205192215</v>
      </c>
      <c r="N170" s="37">
        <f t="shared" si="20"/>
        <v>9.3137254661785338</v>
      </c>
      <c r="O170" s="37">
        <f t="shared" si="21"/>
        <v>9.0503178055346147</v>
      </c>
      <c r="P170" s="34">
        <f t="shared" si="22"/>
        <v>9.3102702089360427</v>
      </c>
      <c r="Q170" s="37">
        <f t="shared" si="23"/>
        <v>9.70793014685899</v>
      </c>
      <c r="R170" s="37">
        <f t="shared" si="24"/>
        <v>10.149484613386685</v>
      </c>
      <c r="S170" s="33">
        <f t="shared" si="13"/>
        <v>67.442214677142914</v>
      </c>
    </row>
    <row r="171" spans="4:19" ht="13.2" x14ac:dyDescent="0.25">
      <c r="D171" s="15">
        <v>130</v>
      </c>
      <c r="E171" s="39">
        <f t="shared" si="10"/>
        <v>4.2257394737013305</v>
      </c>
      <c r="G171" s="30"/>
      <c r="H171" s="30"/>
      <c r="I171" s="30"/>
      <c r="J171" s="30"/>
      <c r="K171" s="34">
        <f t="shared" si="17"/>
        <v>0.11817927756998352</v>
      </c>
      <c r="L171" s="37">
        <f t="shared" si="18"/>
        <v>2.0949065143160506</v>
      </c>
      <c r="M171" s="34">
        <f t="shared" si="19"/>
        <v>16.546735918208288</v>
      </c>
      <c r="N171" s="37">
        <f t="shared" si="20"/>
        <v>8.9737092035405936</v>
      </c>
      <c r="O171" s="37">
        <f t="shared" si="21"/>
        <v>8.7946013214270611</v>
      </c>
      <c r="P171" s="34">
        <f t="shared" si="22"/>
        <v>9.0957083033097543</v>
      </c>
      <c r="Q171" s="37">
        <f t="shared" si="23"/>
        <v>9.5190305098170587</v>
      </c>
      <c r="R171" s="37">
        <f t="shared" si="24"/>
        <v>9.9785948535977109</v>
      </c>
      <c r="S171" s="33">
        <f t="shared" si="13"/>
        <v>65.121465901786493</v>
      </c>
    </row>
    <row r="172" spans="4:19" ht="13.2" x14ac:dyDescent="0.25">
      <c r="D172" s="38">
        <v>131</v>
      </c>
      <c r="E172" s="39">
        <f t="shared" si="10"/>
        <v>4.2582451619605708</v>
      </c>
      <c r="G172" s="30"/>
      <c r="H172" s="30"/>
      <c r="I172" s="30"/>
      <c r="J172" s="30"/>
      <c r="K172" s="34">
        <f t="shared" si="17"/>
        <v>6.8773225074170802E-2</v>
      </c>
      <c r="L172" s="37">
        <f t="shared" si="18"/>
        <v>1.893318127642067</v>
      </c>
      <c r="M172" s="34">
        <f t="shared" si="19"/>
        <v>15.647065631224374</v>
      </c>
      <c r="N172" s="37">
        <f t="shared" si="20"/>
        <v>8.6336929409026482</v>
      </c>
      <c r="O172" s="37">
        <f t="shared" si="21"/>
        <v>8.5388848373195039</v>
      </c>
      <c r="P172" s="34">
        <f t="shared" si="22"/>
        <v>8.8811463976834588</v>
      </c>
      <c r="Q172" s="37">
        <f t="shared" si="23"/>
        <v>9.3301308727751255</v>
      </c>
      <c r="R172" s="37">
        <f t="shared" si="24"/>
        <v>9.8077050938087371</v>
      </c>
      <c r="S172" s="33">
        <f t="shared" si="13"/>
        <v>62.800717126430087</v>
      </c>
    </row>
    <row r="173" spans="4:19" ht="13.2" x14ac:dyDescent="0.25">
      <c r="D173" s="32">
        <v>132</v>
      </c>
      <c r="E173" s="39">
        <f t="shared" si="10"/>
        <v>4.290750850219812</v>
      </c>
      <c r="G173" s="30"/>
      <c r="H173" s="30"/>
      <c r="I173" s="30"/>
      <c r="J173" s="30"/>
      <c r="K173" s="34">
        <f t="shared" si="17"/>
        <v>1.9367172578357451E-2</v>
      </c>
      <c r="L173" s="37">
        <f t="shared" si="18"/>
        <v>1.6917297409680807</v>
      </c>
      <c r="M173" s="34">
        <f t="shared" si="19"/>
        <v>14.747395344240436</v>
      </c>
      <c r="N173" s="37">
        <f t="shared" si="20"/>
        <v>8.2936766782647044</v>
      </c>
      <c r="O173" s="37">
        <f t="shared" si="21"/>
        <v>8.2831683532119467</v>
      </c>
      <c r="P173" s="34">
        <f t="shared" si="22"/>
        <v>8.6665844920571686</v>
      </c>
      <c r="Q173" s="37">
        <f t="shared" si="23"/>
        <v>9.1412312357331924</v>
      </c>
      <c r="R173" s="37">
        <f t="shared" si="24"/>
        <v>9.6368153340197651</v>
      </c>
      <c r="S173" s="33">
        <f t="shared" si="13"/>
        <v>60.479968351073659</v>
      </c>
    </row>
    <row r="174" spans="4:19" ht="13.2" x14ac:dyDescent="0.25">
      <c r="D174" s="15">
        <v>133</v>
      </c>
      <c r="E174" s="39">
        <f t="shared" si="10"/>
        <v>4.3232565384790531</v>
      </c>
      <c r="G174" s="30"/>
      <c r="H174" s="30"/>
      <c r="I174" s="30"/>
      <c r="J174" s="30"/>
      <c r="K174" s="30"/>
      <c r="L174" s="37">
        <f t="shared" si="18"/>
        <v>1.4901413542940947</v>
      </c>
      <c r="M174" s="34">
        <f t="shared" si="19"/>
        <v>13.847725057256522</v>
      </c>
      <c r="N174" s="37">
        <f t="shared" si="20"/>
        <v>7.9536604156267643</v>
      </c>
      <c r="O174" s="37">
        <f t="shared" si="21"/>
        <v>8.027451869104393</v>
      </c>
      <c r="P174" s="34">
        <f t="shared" si="22"/>
        <v>8.4520225864308767</v>
      </c>
      <c r="Q174" s="37">
        <f t="shared" si="23"/>
        <v>8.952331598691261</v>
      </c>
      <c r="R174" s="37">
        <f t="shared" si="24"/>
        <v>9.4659255742307913</v>
      </c>
      <c r="S174" s="33">
        <f t="shared" si="13"/>
        <v>58.1892584556347</v>
      </c>
    </row>
    <row r="175" spans="4:19" ht="13.2" x14ac:dyDescent="0.25">
      <c r="D175" s="38">
        <v>134</v>
      </c>
      <c r="E175" s="39">
        <f t="shared" si="10"/>
        <v>4.3557622267382943</v>
      </c>
      <c r="G175" s="30"/>
      <c r="H175" s="30"/>
      <c r="I175" s="30"/>
      <c r="J175" s="30"/>
      <c r="K175" s="30"/>
      <c r="L175" s="37">
        <f t="shared" si="18"/>
        <v>1.2885529676201111</v>
      </c>
      <c r="M175" s="34">
        <f t="shared" si="19"/>
        <v>12.948054770272595</v>
      </c>
      <c r="N175" s="37">
        <f t="shared" si="20"/>
        <v>7.6136441529888197</v>
      </c>
      <c r="O175" s="37">
        <f t="shared" si="21"/>
        <v>7.7717353849968358</v>
      </c>
      <c r="P175" s="34">
        <f t="shared" si="22"/>
        <v>8.2374606808045829</v>
      </c>
      <c r="Q175" s="37">
        <f t="shared" si="23"/>
        <v>8.7634319616493297</v>
      </c>
      <c r="R175" s="37">
        <f t="shared" si="24"/>
        <v>9.2950358144418175</v>
      </c>
      <c r="S175" s="33">
        <f t="shared" si="13"/>
        <v>55.917915732774091</v>
      </c>
    </row>
    <row r="176" spans="4:19" ht="13.2" x14ac:dyDescent="0.25">
      <c r="D176" s="32">
        <v>135</v>
      </c>
      <c r="E176" s="39">
        <f t="shared" si="10"/>
        <v>4.3882679149975354</v>
      </c>
      <c r="G176" s="30"/>
      <c r="H176" s="30"/>
      <c r="I176" s="30"/>
      <c r="J176" s="30"/>
      <c r="K176" s="30"/>
      <c r="L176" s="37">
        <f t="shared" si="18"/>
        <v>1.086964580946125</v>
      </c>
      <c r="M176" s="34">
        <f t="shared" si="19"/>
        <v>12.048384483288668</v>
      </c>
      <c r="N176" s="37">
        <f t="shared" si="20"/>
        <v>7.2736278903508751</v>
      </c>
      <c r="O176" s="37">
        <f t="shared" si="21"/>
        <v>7.5160189008892822</v>
      </c>
      <c r="P176" s="34">
        <f t="shared" si="22"/>
        <v>8.0228987751782945</v>
      </c>
      <c r="Q176" s="37">
        <f t="shared" si="23"/>
        <v>8.5745323246073966</v>
      </c>
      <c r="R176" s="37">
        <f t="shared" si="24"/>
        <v>9.1241460546528455</v>
      </c>
      <c r="S176" s="33">
        <f t="shared" si="13"/>
        <v>53.646573009913489</v>
      </c>
    </row>
    <row r="177" spans="4:19" ht="13.2" x14ac:dyDescent="0.25">
      <c r="D177" s="15">
        <v>136</v>
      </c>
      <c r="E177" s="39">
        <f t="shared" si="10"/>
        <v>4.4207736032567766</v>
      </c>
      <c r="G177" s="30"/>
      <c r="H177" s="30"/>
      <c r="I177" s="30"/>
      <c r="J177" s="30"/>
      <c r="K177" s="30"/>
      <c r="L177" s="37">
        <f t="shared" si="18"/>
        <v>0.88537619427213887</v>
      </c>
      <c r="M177" s="34">
        <f t="shared" si="19"/>
        <v>11.148714196304754</v>
      </c>
      <c r="N177" s="37">
        <f t="shared" si="20"/>
        <v>6.9336116277129349</v>
      </c>
      <c r="O177" s="37">
        <f t="shared" si="21"/>
        <v>7.2603024167817223</v>
      </c>
      <c r="P177" s="34">
        <f t="shared" si="22"/>
        <v>7.8083368695520017</v>
      </c>
      <c r="Q177" s="37">
        <f t="shared" si="23"/>
        <v>8.3856326875654634</v>
      </c>
      <c r="R177" s="37">
        <f t="shared" si="24"/>
        <v>8.9532562948638716</v>
      </c>
      <c r="S177" s="33">
        <f t="shared" si="13"/>
        <v>51.375230287052887</v>
      </c>
    </row>
    <row r="178" spans="4:19" ht="13.2" x14ac:dyDescent="0.25">
      <c r="D178" s="38">
        <v>137</v>
      </c>
      <c r="E178" s="39">
        <f t="shared" si="10"/>
        <v>4.4532792915160169</v>
      </c>
      <c r="G178" s="30"/>
      <c r="H178" s="30"/>
      <c r="I178" s="30"/>
      <c r="J178" s="30"/>
      <c r="K178" s="30"/>
      <c r="L178" s="37">
        <f t="shared" si="18"/>
        <v>0.68378780759815272</v>
      </c>
      <c r="M178" s="34">
        <f t="shared" si="19"/>
        <v>10.249043909320829</v>
      </c>
      <c r="N178" s="37">
        <f t="shared" si="20"/>
        <v>6.5935953650749903</v>
      </c>
      <c r="O178" s="37">
        <f t="shared" si="21"/>
        <v>7.0045859326741651</v>
      </c>
      <c r="P178" s="34">
        <f t="shared" si="22"/>
        <v>7.5937749639257088</v>
      </c>
      <c r="Q178" s="37">
        <f t="shared" si="23"/>
        <v>8.1967330505235303</v>
      </c>
      <c r="R178" s="37">
        <f t="shared" si="24"/>
        <v>8.7823665350748978</v>
      </c>
      <c r="S178" s="33">
        <f t="shared" si="13"/>
        <v>49.103887564192277</v>
      </c>
    </row>
    <row r="179" spans="4:19" ht="13.2" x14ac:dyDescent="0.25">
      <c r="D179" s="32">
        <v>138</v>
      </c>
      <c r="E179" s="39">
        <f t="shared" si="10"/>
        <v>4.485784979775258</v>
      </c>
      <c r="G179" s="30"/>
      <c r="H179" s="30"/>
      <c r="I179" s="30"/>
      <c r="J179" s="30"/>
      <c r="K179" s="30"/>
      <c r="L179" s="37">
        <f t="shared" si="18"/>
        <v>0.48219942092416662</v>
      </c>
      <c r="M179" s="34">
        <f t="shared" si="19"/>
        <v>9.3493736223369019</v>
      </c>
      <c r="N179" s="37">
        <f t="shared" si="20"/>
        <v>6.2535791024370457</v>
      </c>
      <c r="O179" s="37">
        <f t="shared" si="21"/>
        <v>6.7488694485666114</v>
      </c>
      <c r="P179" s="34">
        <f t="shared" si="22"/>
        <v>7.3792130582994195</v>
      </c>
      <c r="Q179" s="37">
        <f t="shared" si="23"/>
        <v>8.0078334134815989</v>
      </c>
      <c r="R179" s="37">
        <f t="shared" si="24"/>
        <v>8.6114767752859258</v>
      </c>
      <c r="S179" s="33">
        <f t="shared" si="13"/>
        <v>46.832544841331668</v>
      </c>
    </row>
    <row r="180" spans="4:19" ht="13.2" x14ac:dyDescent="0.25">
      <c r="D180" s="15">
        <v>139</v>
      </c>
      <c r="E180" s="39">
        <f t="shared" si="10"/>
        <v>4.5182906680344992</v>
      </c>
      <c r="G180" s="30"/>
      <c r="H180" s="30"/>
      <c r="I180" s="30"/>
      <c r="J180" s="30"/>
      <c r="K180" s="30"/>
      <c r="L180" s="37">
        <f t="shared" si="18"/>
        <v>0.28061103425018308</v>
      </c>
      <c r="M180" s="34">
        <f t="shared" si="19"/>
        <v>8.4497033353529876</v>
      </c>
      <c r="N180" s="37">
        <f t="shared" si="20"/>
        <v>5.9135628397991056</v>
      </c>
      <c r="O180" s="37">
        <f t="shared" si="21"/>
        <v>6.4931529644590551</v>
      </c>
      <c r="P180" s="34">
        <f t="shared" si="22"/>
        <v>7.1646511526731267</v>
      </c>
      <c r="Q180" s="37">
        <f t="shared" si="23"/>
        <v>7.818933776439664</v>
      </c>
      <c r="R180" s="37">
        <f t="shared" si="24"/>
        <v>8.4405870154969538</v>
      </c>
      <c r="S180" s="33">
        <f t="shared" si="13"/>
        <v>44.56120211847108</v>
      </c>
    </row>
    <row r="181" spans="4:19" ht="13.2" x14ac:dyDescent="0.25">
      <c r="D181" s="38">
        <v>140</v>
      </c>
      <c r="E181" s="39">
        <f t="shared" si="10"/>
        <v>4.5507963562937404</v>
      </c>
      <c r="G181" s="30"/>
      <c r="H181" s="30"/>
      <c r="I181" s="30"/>
      <c r="J181" s="30"/>
      <c r="K181" s="30"/>
      <c r="L181" s="37">
        <f t="shared" si="18"/>
        <v>7.9022647576196925E-2</v>
      </c>
      <c r="M181" s="34">
        <f t="shared" si="19"/>
        <v>7.5500330483690608</v>
      </c>
      <c r="N181" s="37">
        <f t="shared" si="20"/>
        <v>5.5735465771611565</v>
      </c>
      <c r="O181" s="37">
        <f t="shared" si="21"/>
        <v>6.2374364803514979</v>
      </c>
      <c r="P181" s="34">
        <f t="shared" si="22"/>
        <v>6.9500892470468347</v>
      </c>
      <c r="Q181" s="37">
        <f t="shared" si="23"/>
        <v>7.6300341393977336</v>
      </c>
      <c r="R181" s="37">
        <f t="shared" si="24"/>
        <v>8.26969725570798</v>
      </c>
      <c r="S181" s="33">
        <f t="shared" si="13"/>
        <v>42.289859395610463</v>
      </c>
    </row>
    <row r="182" spans="4:19" ht="13.2" x14ac:dyDescent="0.25">
      <c r="D182" s="32">
        <v>141</v>
      </c>
      <c r="E182" s="39">
        <f t="shared" si="10"/>
        <v>4.5833020445529815</v>
      </c>
      <c r="G182" s="30"/>
      <c r="H182" s="30"/>
      <c r="I182" s="30"/>
      <c r="J182" s="30"/>
      <c r="K182" s="30"/>
      <c r="L182" s="30"/>
      <c r="M182" s="34">
        <f t="shared" si="19"/>
        <v>6.6503627613851348</v>
      </c>
      <c r="N182" s="37">
        <f t="shared" si="20"/>
        <v>5.2335303145232164</v>
      </c>
      <c r="O182" s="37">
        <f t="shared" si="21"/>
        <v>5.9817199962439442</v>
      </c>
      <c r="P182" s="34">
        <f t="shared" si="22"/>
        <v>6.7355273414205445</v>
      </c>
      <c r="Q182" s="37">
        <f t="shared" si="23"/>
        <v>7.4411345023558004</v>
      </c>
      <c r="R182" s="37">
        <f t="shared" si="24"/>
        <v>8.0988074959190062</v>
      </c>
      <c r="S182" s="33">
        <f t="shared" si="13"/>
        <v>40.141082411847641</v>
      </c>
    </row>
    <row r="183" spans="4:19" ht="13.2" x14ac:dyDescent="0.25">
      <c r="D183" s="15">
        <v>142</v>
      </c>
      <c r="E183" s="39">
        <f t="shared" si="10"/>
        <v>4.6158077328122218</v>
      </c>
      <c r="G183" s="30"/>
      <c r="H183" s="30"/>
      <c r="I183" s="30"/>
      <c r="J183" s="30"/>
      <c r="K183" s="30"/>
      <c r="L183" s="30"/>
      <c r="M183" s="34">
        <f t="shared" si="19"/>
        <v>5.7506924744012196</v>
      </c>
      <c r="N183" s="37">
        <f t="shared" si="20"/>
        <v>4.8935140518852718</v>
      </c>
      <c r="O183" s="37">
        <f t="shared" si="21"/>
        <v>5.726003512136387</v>
      </c>
      <c r="P183" s="34">
        <f t="shared" si="22"/>
        <v>6.5209654357942526</v>
      </c>
      <c r="Q183" s="37">
        <f t="shared" si="23"/>
        <v>7.2522348653138673</v>
      </c>
      <c r="R183" s="37">
        <f t="shared" si="24"/>
        <v>7.9279177361300341</v>
      </c>
      <c r="S183" s="33">
        <f t="shared" si="13"/>
        <v>38.071328075661029</v>
      </c>
    </row>
    <row r="184" spans="4:19" ht="13.2" x14ac:dyDescent="0.25">
      <c r="D184" s="38">
        <v>143</v>
      </c>
      <c r="E184" s="39">
        <f t="shared" si="10"/>
        <v>4.6483134210714629</v>
      </c>
      <c r="G184" s="30"/>
      <c r="H184" s="30"/>
      <c r="I184" s="30"/>
      <c r="J184" s="30"/>
      <c r="K184" s="30"/>
      <c r="L184" s="30"/>
      <c r="M184" s="34">
        <f t="shared" si="19"/>
        <v>4.8510221874172936</v>
      </c>
      <c r="N184" s="37">
        <f t="shared" si="20"/>
        <v>4.5534977892473272</v>
      </c>
      <c r="O184" s="37">
        <f t="shared" si="21"/>
        <v>5.4702870280288307</v>
      </c>
      <c r="P184" s="34">
        <f t="shared" si="22"/>
        <v>6.3064035301679624</v>
      </c>
      <c r="Q184" s="37">
        <f t="shared" si="23"/>
        <v>7.0633352282719359</v>
      </c>
      <c r="R184" s="37">
        <f t="shared" si="24"/>
        <v>7.7570279763410603</v>
      </c>
      <c r="S184" s="33">
        <f t="shared" si="13"/>
        <v>36.001573739474409</v>
      </c>
    </row>
    <row r="185" spans="4:19" ht="13.2" x14ac:dyDescent="0.25">
      <c r="D185" s="32">
        <v>144</v>
      </c>
      <c r="E185" s="39">
        <f t="shared" si="10"/>
        <v>4.6808191093307041</v>
      </c>
      <c r="G185" s="30"/>
      <c r="H185" s="30"/>
      <c r="I185" s="30"/>
      <c r="J185" s="30"/>
      <c r="K185" s="30"/>
      <c r="L185" s="30"/>
      <c r="M185" s="34">
        <f t="shared" si="19"/>
        <v>3.9513519004333673</v>
      </c>
      <c r="N185" s="37">
        <f t="shared" si="20"/>
        <v>4.213481526609387</v>
      </c>
      <c r="O185" s="37">
        <f t="shared" si="21"/>
        <v>5.2145705439212771</v>
      </c>
      <c r="P185" s="34">
        <f t="shared" si="22"/>
        <v>6.0918416245416678</v>
      </c>
      <c r="Q185" s="37">
        <f t="shared" si="23"/>
        <v>6.8744355912300028</v>
      </c>
      <c r="R185" s="37">
        <f t="shared" si="24"/>
        <v>7.5861382165520865</v>
      </c>
      <c r="S185" s="33">
        <f t="shared" si="13"/>
        <v>33.93181940328779</v>
      </c>
    </row>
    <row r="186" spans="4:19" ht="13.2" x14ac:dyDescent="0.25">
      <c r="D186" s="15">
        <v>145</v>
      </c>
      <c r="E186" s="39">
        <f t="shared" si="10"/>
        <v>4.7133247975899453</v>
      </c>
      <c r="G186" s="30"/>
      <c r="H186" s="30"/>
      <c r="I186" s="30"/>
      <c r="J186" s="30"/>
      <c r="K186" s="30"/>
      <c r="L186" s="30"/>
      <c r="M186" s="34">
        <f t="shared" si="19"/>
        <v>3.0516816134494409</v>
      </c>
      <c r="N186" s="37">
        <f t="shared" si="20"/>
        <v>3.873465263971442</v>
      </c>
      <c r="O186" s="37">
        <f t="shared" si="21"/>
        <v>4.9588540598137199</v>
      </c>
      <c r="P186" s="34">
        <f t="shared" si="22"/>
        <v>5.8772797189153749</v>
      </c>
      <c r="Q186" s="37">
        <f t="shared" si="23"/>
        <v>6.6855359541880697</v>
      </c>
      <c r="R186" s="37">
        <f t="shared" si="24"/>
        <v>7.4152484567631145</v>
      </c>
      <c r="S186" s="33">
        <f t="shared" si="13"/>
        <v>31.862065067101163</v>
      </c>
    </row>
    <row r="187" spans="4:19" ht="13.2" x14ac:dyDescent="0.25">
      <c r="D187" s="38">
        <v>146</v>
      </c>
      <c r="E187" s="39">
        <f t="shared" si="10"/>
        <v>4.7458304858491864</v>
      </c>
      <c r="G187" s="30"/>
      <c r="H187" s="30"/>
      <c r="I187" s="30"/>
      <c r="J187" s="30"/>
      <c r="K187" s="30"/>
      <c r="L187" s="30"/>
      <c r="M187" s="34">
        <f t="shared" si="19"/>
        <v>2.152011326465515</v>
      </c>
      <c r="N187" s="37">
        <f t="shared" si="20"/>
        <v>3.5334490013334974</v>
      </c>
      <c r="O187" s="37">
        <f t="shared" si="21"/>
        <v>4.7031375757061626</v>
      </c>
      <c r="P187" s="34">
        <f t="shared" si="22"/>
        <v>5.6627178132890856</v>
      </c>
      <c r="Q187" s="37">
        <f t="shared" si="23"/>
        <v>6.4966363171461392</v>
      </c>
      <c r="R187" s="37">
        <f t="shared" si="24"/>
        <v>7.2443586969741425</v>
      </c>
      <c r="S187" s="33">
        <f t="shared" si="13"/>
        <v>29.79231073091454</v>
      </c>
    </row>
    <row r="188" spans="4:19" ht="13.2" x14ac:dyDescent="0.25">
      <c r="D188" s="32">
        <v>147</v>
      </c>
      <c r="E188" s="39">
        <f t="shared" si="10"/>
        <v>4.7783361741084276</v>
      </c>
      <c r="G188" s="30"/>
      <c r="H188" s="30"/>
      <c r="I188" s="30"/>
      <c r="J188" s="30"/>
      <c r="K188" s="30"/>
      <c r="L188" s="30"/>
      <c r="M188" s="34">
        <f t="shared" si="19"/>
        <v>1.2523410394816001</v>
      </c>
      <c r="N188" s="37">
        <f t="shared" si="20"/>
        <v>3.1934327386955572</v>
      </c>
      <c r="O188" s="37">
        <f t="shared" si="21"/>
        <v>4.447421091598609</v>
      </c>
      <c r="P188" s="34">
        <f t="shared" si="22"/>
        <v>5.4481559076627928</v>
      </c>
      <c r="Q188" s="37">
        <f t="shared" si="23"/>
        <v>6.3077366801042061</v>
      </c>
      <c r="R188" s="37">
        <f t="shared" si="24"/>
        <v>7.0734689371851669</v>
      </c>
      <c r="S188" s="33">
        <f t="shared" si="13"/>
        <v>27.722556394727931</v>
      </c>
    </row>
    <row r="189" spans="4:19" ht="13.2" x14ac:dyDescent="0.25">
      <c r="D189" s="15">
        <v>148</v>
      </c>
      <c r="E189" s="39">
        <f t="shared" si="10"/>
        <v>4.8108418623676679</v>
      </c>
      <c r="G189" s="30"/>
      <c r="H189" s="30"/>
      <c r="I189" s="30"/>
      <c r="J189" s="30"/>
      <c r="K189" s="30"/>
      <c r="L189" s="30"/>
      <c r="M189" s="34">
        <f t="shared" si="19"/>
        <v>0.35267075249767393</v>
      </c>
      <c r="N189" s="37">
        <f t="shared" si="20"/>
        <v>2.8534164760576126</v>
      </c>
      <c r="O189" s="37">
        <f t="shared" si="21"/>
        <v>4.1917046074910491</v>
      </c>
      <c r="P189" s="34">
        <f t="shared" si="22"/>
        <v>5.2335940020364999</v>
      </c>
      <c r="Q189" s="37">
        <f t="shared" si="23"/>
        <v>6.1188370430622729</v>
      </c>
      <c r="R189" s="37">
        <f t="shared" si="24"/>
        <v>6.9025791773961958</v>
      </c>
      <c r="S189" s="33">
        <f t="shared" si="13"/>
        <v>25.652802058541301</v>
      </c>
    </row>
    <row r="190" spans="4:19" ht="13.2" x14ac:dyDescent="0.25">
      <c r="D190" s="38">
        <v>149</v>
      </c>
      <c r="E190" s="39">
        <f t="shared" si="10"/>
        <v>4.843347550626909</v>
      </c>
      <c r="G190" s="30"/>
      <c r="H190" s="30"/>
      <c r="I190" s="30"/>
      <c r="J190" s="30"/>
      <c r="K190" s="30"/>
      <c r="L190" s="30"/>
      <c r="M190" s="30"/>
      <c r="N190" s="37">
        <f t="shared" si="20"/>
        <v>2.513400213419668</v>
      </c>
      <c r="O190" s="37">
        <f t="shared" si="21"/>
        <v>3.9359881233834955</v>
      </c>
      <c r="P190" s="34">
        <f t="shared" si="22"/>
        <v>5.0190320964102106</v>
      </c>
      <c r="Q190" s="37">
        <f t="shared" si="23"/>
        <v>5.9299374060203416</v>
      </c>
      <c r="R190" s="37">
        <f t="shared" si="24"/>
        <v>6.7316894176072219</v>
      </c>
      <c r="S190" s="33">
        <f t="shared" si="13"/>
        <v>24.130047256840939</v>
      </c>
    </row>
    <row r="191" spans="4:19" ht="13.2" x14ac:dyDescent="0.25">
      <c r="D191" s="32">
        <v>150</v>
      </c>
      <c r="E191" s="39">
        <f t="shared" si="10"/>
        <v>4.8758532388861502</v>
      </c>
      <c r="G191" s="30"/>
      <c r="H191" s="30"/>
      <c r="I191" s="30"/>
      <c r="J191" s="30"/>
      <c r="K191" s="30"/>
      <c r="L191" s="30"/>
      <c r="M191" s="30"/>
      <c r="N191" s="37">
        <f t="shared" si="20"/>
        <v>2.1733839507817279</v>
      </c>
      <c r="O191" s="37">
        <f t="shared" si="21"/>
        <v>3.6802716392759387</v>
      </c>
      <c r="P191" s="34">
        <f t="shared" si="22"/>
        <v>4.8044701907839178</v>
      </c>
      <c r="Q191" s="37">
        <f t="shared" si="23"/>
        <v>5.7410377689784085</v>
      </c>
      <c r="R191" s="37">
        <f t="shared" si="24"/>
        <v>6.5607996578182481</v>
      </c>
      <c r="S191" s="33">
        <f t="shared" si="13"/>
        <v>22.959963207638239</v>
      </c>
    </row>
    <row r="192" spans="4:19" ht="13.2" x14ac:dyDescent="0.25">
      <c r="D192" s="15">
        <v>151</v>
      </c>
      <c r="E192" s="39">
        <f t="shared" si="10"/>
        <v>4.9083589271453913</v>
      </c>
      <c r="G192" s="30"/>
      <c r="H192" s="30"/>
      <c r="I192" s="30"/>
      <c r="J192" s="30"/>
      <c r="K192" s="30"/>
      <c r="L192" s="30"/>
      <c r="M192" s="30"/>
      <c r="N192" s="37">
        <f t="shared" si="20"/>
        <v>1.8333676881437833</v>
      </c>
      <c r="O192" s="37">
        <f t="shared" si="21"/>
        <v>3.4245551551683819</v>
      </c>
      <c r="P192" s="34">
        <f t="shared" si="22"/>
        <v>4.5899082851576258</v>
      </c>
      <c r="Q192" s="37">
        <f t="shared" si="23"/>
        <v>5.552138131936478</v>
      </c>
      <c r="R192" s="37">
        <f t="shared" si="24"/>
        <v>6.389909898029277</v>
      </c>
      <c r="S192" s="33">
        <f t="shared" si="13"/>
        <v>21.789879158435546</v>
      </c>
    </row>
    <row r="193" spans="4:19" ht="13.2" x14ac:dyDescent="0.25">
      <c r="D193" s="38">
        <v>152</v>
      </c>
      <c r="E193" s="39">
        <f t="shared" si="10"/>
        <v>4.9408646154046325</v>
      </c>
      <c r="G193" s="30"/>
      <c r="H193" s="30"/>
      <c r="I193" s="30"/>
      <c r="J193" s="30"/>
      <c r="K193" s="30"/>
      <c r="L193" s="30"/>
      <c r="M193" s="30"/>
      <c r="N193" s="37">
        <f t="shared" si="20"/>
        <v>1.4933514255058387</v>
      </c>
      <c r="O193" s="37">
        <f t="shared" si="21"/>
        <v>3.1688386710608283</v>
      </c>
      <c r="P193" s="34">
        <f t="shared" si="22"/>
        <v>4.3753463795313356</v>
      </c>
      <c r="Q193" s="37">
        <f t="shared" si="23"/>
        <v>5.3632384948945422</v>
      </c>
      <c r="R193" s="37">
        <f t="shared" si="24"/>
        <v>6.2190201382403032</v>
      </c>
      <c r="S193" s="33">
        <f t="shared" si="13"/>
        <v>20.619795109232847</v>
      </c>
    </row>
    <row r="194" spans="4:19" ht="13.2" x14ac:dyDescent="0.25">
      <c r="D194" s="32">
        <v>153</v>
      </c>
      <c r="E194" s="39">
        <f t="shared" si="10"/>
        <v>4.9733703036638737</v>
      </c>
      <c r="G194" s="30"/>
      <c r="H194" s="30"/>
      <c r="I194" s="30"/>
      <c r="J194" s="30"/>
      <c r="K194" s="30"/>
      <c r="L194" s="30"/>
      <c r="M194" s="30"/>
      <c r="N194" s="37">
        <f t="shared" si="20"/>
        <v>1.1533351628678941</v>
      </c>
      <c r="O194" s="37">
        <f t="shared" si="21"/>
        <v>2.9131221869532711</v>
      </c>
      <c r="P194" s="34">
        <f t="shared" si="22"/>
        <v>4.1607844739050437</v>
      </c>
      <c r="Q194" s="37">
        <f t="shared" si="23"/>
        <v>5.1743388578526091</v>
      </c>
      <c r="R194" s="37">
        <f t="shared" si="24"/>
        <v>6.0481303784513294</v>
      </c>
      <c r="S194" s="33">
        <f t="shared" si="13"/>
        <v>19.449711060030147</v>
      </c>
    </row>
    <row r="195" spans="4:19" ht="13.2" x14ac:dyDescent="0.25">
      <c r="D195" s="15">
        <v>154</v>
      </c>
      <c r="E195" s="39">
        <f t="shared" si="10"/>
        <v>5.0058759919231139</v>
      </c>
      <c r="G195" s="30"/>
      <c r="H195" s="30"/>
      <c r="I195" s="30"/>
      <c r="J195" s="30"/>
      <c r="K195" s="30"/>
      <c r="L195" s="30"/>
      <c r="M195" s="30"/>
      <c r="N195" s="37">
        <f t="shared" si="20"/>
        <v>0.81331890022994957</v>
      </c>
      <c r="O195" s="37">
        <f t="shared" si="21"/>
        <v>2.6574057028457143</v>
      </c>
      <c r="P195" s="34">
        <f t="shared" si="22"/>
        <v>3.9462225682787513</v>
      </c>
      <c r="Q195" s="37">
        <f t="shared" si="23"/>
        <v>4.9854392208106786</v>
      </c>
      <c r="R195" s="37">
        <f t="shared" si="24"/>
        <v>5.8772406186623583</v>
      </c>
      <c r="S195" s="33">
        <f t="shared" si="13"/>
        <v>18.279627010827454</v>
      </c>
    </row>
    <row r="196" spans="4:19" ht="13.2" x14ac:dyDescent="0.25">
      <c r="D196" s="38">
        <v>155</v>
      </c>
      <c r="E196" s="39">
        <f t="shared" si="10"/>
        <v>5.0383816801823551</v>
      </c>
      <c r="G196" s="30"/>
      <c r="H196" s="30"/>
      <c r="I196" s="30"/>
      <c r="J196" s="30"/>
      <c r="K196" s="30"/>
      <c r="L196" s="30"/>
      <c r="M196" s="30"/>
      <c r="N196" s="37">
        <f t="shared" si="20"/>
        <v>0.47330263759200936</v>
      </c>
      <c r="O196" s="37">
        <f t="shared" si="21"/>
        <v>2.4016892187381607</v>
      </c>
      <c r="P196" s="34">
        <f t="shared" si="22"/>
        <v>3.7316606626524615</v>
      </c>
      <c r="Q196" s="37">
        <f t="shared" si="23"/>
        <v>4.7965395837687455</v>
      </c>
      <c r="R196" s="37">
        <f t="shared" si="24"/>
        <v>5.7063508588733844</v>
      </c>
      <c r="S196" s="33">
        <f t="shared" si="13"/>
        <v>17.109542961624761</v>
      </c>
    </row>
    <row r="197" spans="4:19" ht="13.2" x14ac:dyDescent="0.25">
      <c r="D197" s="32">
        <v>156</v>
      </c>
      <c r="E197" s="39">
        <f t="shared" si="10"/>
        <v>5.0708873684415963</v>
      </c>
      <c r="G197" s="30"/>
      <c r="H197" s="30"/>
      <c r="I197" s="30"/>
      <c r="J197" s="30"/>
      <c r="K197" s="30"/>
      <c r="L197" s="30"/>
      <c r="M197" s="30"/>
      <c r="N197" s="37">
        <f t="shared" si="20"/>
        <v>0.13328637495406476</v>
      </c>
      <c r="O197" s="37">
        <f t="shared" si="21"/>
        <v>2.1459727346306039</v>
      </c>
      <c r="P197" s="34">
        <f t="shared" si="22"/>
        <v>3.517098757026166</v>
      </c>
      <c r="Q197" s="37">
        <f t="shared" si="23"/>
        <v>4.6076399467268123</v>
      </c>
      <c r="R197" s="37">
        <f t="shared" si="24"/>
        <v>5.5354610990844106</v>
      </c>
      <c r="S197" s="33">
        <f t="shared" si="13"/>
        <v>15.939458912422058</v>
      </c>
    </row>
    <row r="198" spans="4:19" ht="13.2" x14ac:dyDescent="0.25">
      <c r="D198" s="15">
        <v>157</v>
      </c>
      <c r="E198" s="39">
        <f t="shared" si="10"/>
        <v>5.1033930567008374</v>
      </c>
      <c r="G198" s="30"/>
      <c r="H198" s="30"/>
      <c r="I198" s="30"/>
      <c r="J198" s="30"/>
      <c r="K198" s="30"/>
      <c r="L198" s="30"/>
      <c r="M198" s="30"/>
      <c r="N198" s="30"/>
      <c r="O198" s="37">
        <f t="shared" si="21"/>
        <v>1.8902562505230469</v>
      </c>
      <c r="P198" s="34">
        <f t="shared" si="22"/>
        <v>3.3025368513998763</v>
      </c>
      <c r="Q198" s="37">
        <f t="shared" si="23"/>
        <v>4.418740309684881</v>
      </c>
      <c r="R198" s="37">
        <f t="shared" si="24"/>
        <v>5.3645713392954395</v>
      </c>
      <c r="S198" s="33">
        <f t="shared" si="13"/>
        <v>14.976104750903245</v>
      </c>
    </row>
    <row r="199" spans="4:19" ht="13.2" x14ac:dyDescent="0.25">
      <c r="D199" s="38">
        <v>158</v>
      </c>
      <c r="E199" s="39">
        <f t="shared" si="10"/>
        <v>5.1358987449600786</v>
      </c>
      <c r="G199" s="30"/>
      <c r="H199" s="30"/>
      <c r="I199" s="30"/>
      <c r="J199" s="30"/>
      <c r="K199" s="30"/>
      <c r="L199" s="30"/>
      <c r="M199" s="30"/>
      <c r="N199" s="30"/>
      <c r="O199" s="37">
        <f t="shared" si="21"/>
        <v>1.6345397664154933</v>
      </c>
      <c r="P199" s="34">
        <f t="shared" si="22"/>
        <v>3.0879749457735839</v>
      </c>
      <c r="Q199" s="37">
        <f t="shared" si="23"/>
        <v>4.2298406726429478</v>
      </c>
      <c r="R199" s="37">
        <f t="shared" si="24"/>
        <v>5.1936815795064657</v>
      </c>
      <c r="S199" s="33">
        <f t="shared" si="13"/>
        <v>14.14603696433849</v>
      </c>
    </row>
    <row r="200" spans="4:19" ht="13.2" x14ac:dyDescent="0.25">
      <c r="D200" s="32">
        <v>159</v>
      </c>
      <c r="E200" s="39">
        <f t="shared" si="10"/>
        <v>5.1684044332193189</v>
      </c>
      <c r="G200" s="30"/>
      <c r="H200" s="30"/>
      <c r="I200" s="30"/>
      <c r="J200" s="30"/>
      <c r="K200" s="30"/>
      <c r="L200" s="30"/>
      <c r="M200" s="30"/>
      <c r="N200" s="30"/>
      <c r="O200" s="37">
        <f t="shared" si="21"/>
        <v>1.3788232823079365</v>
      </c>
      <c r="P200" s="34">
        <f t="shared" si="22"/>
        <v>2.8734130401472915</v>
      </c>
      <c r="Q200" s="37">
        <f t="shared" si="23"/>
        <v>4.0409410356010147</v>
      </c>
      <c r="R200" s="37">
        <f t="shared" si="24"/>
        <v>5.0227918197174937</v>
      </c>
      <c r="S200" s="33">
        <f t="shared" si="13"/>
        <v>13.315969177773736</v>
      </c>
    </row>
    <row r="201" spans="4:19" ht="13.2" x14ac:dyDescent="0.25">
      <c r="D201" s="15">
        <v>160</v>
      </c>
      <c r="E201" s="39">
        <f t="shared" si="10"/>
        <v>5.20091012147856</v>
      </c>
      <c r="G201" s="30"/>
      <c r="H201" s="30"/>
      <c r="I201" s="30"/>
      <c r="J201" s="30"/>
      <c r="K201" s="30"/>
      <c r="L201" s="30"/>
      <c r="M201" s="30"/>
      <c r="N201" s="30"/>
      <c r="O201" s="37">
        <f t="shared" si="21"/>
        <v>1.1231067982003795</v>
      </c>
      <c r="P201" s="34">
        <f t="shared" si="22"/>
        <v>2.6588511345210017</v>
      </c>
      <c r="Q201" s="37">
        <f t="shared" si="23"/>
        <v>3.8520413985590842</v>
      </c>
      <c r="R201" s="37">
        <f t="shared" si="24"/>
        <v>4.8519020599285181</v>
      </c>
      <c r="S201" s="33">
        <f t="shared" si="13"/>
        <v>12.485901391208984</v>
      </c>
    </row>
    <row r="202" spans="4:19" ht="13.2" x14ac:dyDescent="0.25">
      <c r="D202" s="38">
        <v>161</v>
      </c>
      <c r="E202" s="39">
        <f t="shared" si="10"/>
        <v>5.2334158097378012</v>
      </c>
      <c r="G202" s="30"/>
      <c r="H202" s="30"/>
      <c r="I202" s="30"/>
      <c r="J202" s="30"/>
      <c r="K202" s="30"/>
      <c r="L202" s="30"/>
      <c r="M202" s="30"/>
      <c r="N202" s="30"/>
      <c r="O202" s="37">
        <f t="shared" si="21"/>
        <v>0.86739031409282263</v>
      </c>
      <c r="P202" s="34">
        <f t="shared" si="22"/>
        <v>2.4442892288947093</v>
      </c>
      <c r="Q202" s="37">
        <f t="shared" si="23"/>
        <v>3.6631417615171511</v>
      </c>
      <c r="R202" s="37">
        <f t="shared" si="24"/>
        <v>4.6810123001395443</v>
      </c>
      <c r="S202" s="33">
        <f t="shared" si="13"/>
        <v>11.655833604644227</v>
      </c>
    </row>
    <row r="203" spans="4:19" ht="13.2" x14ac:dyDescent="0.25">
      <c r="D203" s="32">
        <v>162</v>
      </c>
      <c r="E203" s="39">
        <f t="shared" si="10"/>
        <v>5.2659214979970423</v>
      </c>
      <c r="G203" s="30"/>
      <c r="H203" s="30"/>
      <c r="I203" s="30"/>
      <c r="J203" s="30"/>
      <c r="K203" s="30"/>
      <c r="L203" s="30"/>
      <c r="M203" s="30"/>
      <c r="N203" s="30"/>
      <c r="O203" s="37">
        <f t="shared" si="21"/>
        <v>0.61167382998526565</v>
      </c>
      <c r="P203" s="34">
        <f t="shared" si="22"/>
        <v>2.2297273232684169</v>
      </c>
      <c r="Q203" s="37">
        <f t="shared" si="23"/>
        <v>3.474242124475218</v>
      </c>
      <c r="R203" s="37">
        <f t="shared" si="24"/>
        <v>4.5101225403505731</v>
      </c>
      <c r="S203" s="33">
        <f t="shared" si="13"/>
        <v>10.825765818079475</v>
      </c>
    </row>
    <row r="204" spans="4:19" ht="13.2" x14ac:dyDescent="0.25">
      <c r="D204" s="15">
        <v>163</v>
      </c>
      <c r="E204" s="39">
        <f t="shared" si="10"/>
        <v>5.2984271862562835</v>
      </c>
      <c r="G204" s="30"/>
      <c r="H204" s="30"/>
      <c r="I204" s="30"/>
      <c r="J204" s="30"/>
      <c r="K204" s="30"/>
      <c r="L204" s="30"/>
      <c r="M204" s="30"/>
      <c r="N204" s="30"/>
      <c r="O204" s="37">
        <f t="shared" si="21"/>
        <v>0.35595734587771205</v>
      </c>
      <c r="P204" s="34">
        <f t="shared" si="22"/>
        <v>2.0151654176421272</v>
      </c>
      <c r="Q204" s="37">
        <f t="shared" si="23"/>
        <v>3.2853424874332871</v>
      </c>
      <c r="R204" s="37">
        <f t="shared" si="24"/>
        <v>4.3392327805615993</v>
      </c>
      <c r="S204" s="33">
        <f t="shared" si="13"/>
        <v>9.9956980315147241</v>
      </c>
    </row>
    <row r="205" spans="4:19" ht="13.2" x14ac:dyDescent="0.25">
      <c r="D205" s="38">
        <v>164</v>
      </c>
      <c r="E205" s="39">
        <f t="shared" si="10"/>
        <v>5.3309328745155247</v>
      </c>
      <c r="G205" s="30"/>
      <c r="H205" s="30"/>
      <c r="I205" s="30"/>
      <c r="J205" s="30"/>
      <c r="K205" s="30"/>
      <c r="L205" s="30"/>
      <c r="M205" s="30"/>
      <c r="N205" s="30"/>
      <c r="O205" s="37">
        <f t="shared" si="21"/>
        <v>0.10024086177015515</v>
      </c>
      <c r="P205" s="34">
        <f t="shared" si="22"/>
        <v>1.8006035120158348</v>
      </c>
      <c r="Q205" s="37">
        <f t="shared" si="23"/>
        <v>3.0964428503913513</v>
      </c>
      <c r="R205" s="37">
        <f t="shared" si="24"/>
        <v>4.1683430207726255</v>
      </c>
      <c r="S205" s="33">
        <f t="shared" si="13"/>
        <v>9.1656302449499663</v>
      </c>
    </row>
    <row r="206" spans="4:19" ht="13.2" x14ac:dyDescent="0.25">
      <c r="D206" s="32">
        <v>165</v>
      </c>
      <c r="E206" s="39">
        <f t="shared" si="10"/>
        <v>5.3634385627747649</v>
      </c>
      <c r="G206" s="30"/>
      <c r="H206" s="30"/>
      <c r="I206" s="30"/>
      <c r="J206" s="30"/>
      <c r="K206" s="30"/>
      <c r="L206" s="30"/>
      <c r="M206" s="30"/>
      <c r="N206" s="30"/>
      <c r="O206" s="30"/>
      <c r="P206" s="34">
        <f t="shared" si="22"/>
        <v>1.5860416063895424</v>
      </c>
      <c r="Q206" s="37">
        <f t="shared" si="23"/>
        <v>2.9075432133494208</v>
      </c>
      <c r="R206" s="37">
        <f t="shared" si="24"/>
        <v>3.9974532609836539</v>
      </c>
      <c r="S206" s="33">
        <f t="shared" si="13"/>
        <v>8.4910380807226176</v>
      </c>
    </row>
    <row r="207" spans="4:19" ht="13.2" x14ac:dyDescent="0.25">
      <c r="D207" s="15">
        <v>166</v>
      </c>
      <c r="E207" s="39">
        <f t="shared" si="10"/>
        <v>5.3959442510340061</v>
      </c>
      <c r="G207" s="30"/>
      <c r="H207" s="30"/>
      <c r="I207" s="30"/>
      <c r="J207" s="30"/>
      <c r="K207" s="30"/>
      <c r="L207" s="30"/>
      <c r="M207" s="30"/>
      <c r="N207" s="30"/>
      <c r="O207" s="30"/>
      <c r="P207" s="34">
        <f t="shared" si="22"/>
        <v>1.3714797007632527</v>
      </c>
      <c r="Q207" s="37">
        <f t="shared" si="23"/>
        <v>2.7186435763074877</v>
      </c>
      <c r="R207" s="37">
        <f t="shared" si="24"/>
        <v>3.8265635011946806</v>
      </c>
      <c r="S207" s="33">
        <f t="shared" si="13"/>
        <v>7.9166867782654204</v>
      </c>
    </row>
    <row r="208" spans="4:19" ht="13.2" x14ac:dyDescent="0.25">
      <c r="D208" s="38">
        <v>167</v>
      </c>
      <c r="E208" s="39">
        <f t="shared" si="10"/>
        <v>5.4284499392932473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4">
        <f t="shared" si="22"/>
        <v>1.1569177951369602</v>
      </c>
      <c r="Q208" s="37">
        <f t="shared" si="23"/>
        <v>2.5297439392655541</v>
      </c>
      <c r="R208" s="37">
        <f t="shared" si="24"/>
        <v>3.6556737414057068</v>
      </c>
      <c r="S208" s="33">
        <f t="shared" si="13"/>
        <v>7.3423354758082215</v>
      </c>
    </row>
    <row r="209" spans="4:19" ht="13.2" x14ac:dyDescent="0.25">
      <c r="D209" s="32">
        <v>168</v>
      </c>
      <c r="E209" s="39">
        <f t="shared" si="10"/>
        <v>5.4609556275524884</v>
      </c>
      <c r="G209" s="30"/>
      <c r="H209" s="30"/>
      <c r="I209" s="30"/>
      <c r="J209" s="30"/>
      <c r="K209" s="30"/>
      <c r="L209" s="30"/>
      <c r="M209" s="30"/>
      <c r="N209" s="30"/>
      <c r="O209" s="30"/>
      <c r="P209" s="34">
        <f t="shared" si="22"/>
        <v>0.94235588951066773</v>
      </c>
      <c r="Q209" s="37">
        <f t="shared" si="23"/>
        <v>2.3408443022236236</v>
      </c>
      <c r="R209" s="37">
        <f t="shared" si="24"/>
        <v>3.4847839816167352</v>
      </c>
      <c r="S209" s="33">
        <f t="shared" si="13"/>
        <v>6.7679841733510262</v>
      </c>
    </row>
    <row r="210" spans="4:19" ht="13.2" x14ac:dyDescent="0.25">
      <c r="D210" s="15">
        <v>169</v>
      </c>
      <c r="E210" s="39">
        <f t="shared" si="10"/>
        <v>5.4934613158117296</v>
      </c>
      <c r="G210" s="30"/>
      <c r="H210" s="30"/>
      <c r="I210" s="30"/>
      <c r="J210" s="30"/>
      <c r="K210" s="30"/>
      <c r="L210" s="30"/>
      <c r="M210" s="30"/>
      <c r="N210" s="30"/>
      <c r="O210" s="30"/>
      <c r="P210" s="34">
        <f t="shared" si="22"/>
        <v>0.72779398388437522</v>
      </c>
      <c r="Q210" s="37">
        <f t="shared" si="23"/>
        <v>2.1519446651816905</v>
      </c>
      <c r="R210" s="37">
        <f t="shared" si="24"/>
        <v>3.3138942218277618</v>
      </c>
      <c r="S210" s="33">
        <f t="shared" si="13"/>
        <v>6.1936328708938273</v>
      </c>
    </row>
    <row r="211" spans="4:19" ht="13.2" x14ac:dyDescent="0.25">
      <c r="D211" s="38">
        <v>170</v>
      </c>
      <c r="E211" s="39">
        <f t="shared" si="10"/>
        <v>5.5259670040709699</v>
      </c>
      <c r="G211" s="30"/>
      <c r="H211" s="30"/>
      <c r="I211" s="30"/>
      <c r="J211" s="30"/>
      <c r="K211" s="30"/>
      <c r="L211" s="30"/>
      <c r="M211" s="30"/>
      <c r="N211" s="30"/>
      <c r="O211" s="30"/>
      <c r="P211" s="34">
        <f t="shared" si="22"/>
        <v>0.51323207825808281</v>
      </c>
      <c r="Q211" s="37">
        <f t="shared" si="23"/>
        <v>1.9630450281397571</v>
      </c>
      <c r="R211" s="37">
        <f t="shared" si="24"/>
        <v>3.143004462038788</v>
      </c>
      <c r="S211" s="33">
        <f t="shared" si="13"/>
        <v>5.6192815684366284</v>
      </c>
    </row>
    <row r="212" spans="4:19" ht="13.2" x14ac:dyDescent="0.25">
      <c r="D212" s="32">
        <v>171</v>
      </c>
      <c r="E212" s="39">
        <f t="shared" si="10"/>
        <v>5.558472692330211</v>
      </c>
      <c r="G212" s="30"/>
      <c r="H212" s="30"/>
      <c r="I212" s="30"/>
      <c r="J212" s="30"/>
      <c r="K212" s="30"/>
      <c r="L212" s="30"/>
      <c r="M212" s="30"/>
      <c r="N212" s="30"/>
      <c r="O212" s="30"/>
      <c r="P212" s="34">
        <f t="shared" si="22"/>
        <v>0.29867017263179307</v>
      </c>
      <c r="Q212" s="37">
        <f t="shared" si="23"/>
        <v>1.7741453910978264</v>
      </c>
      <c r="R212" s="37">
        <f t="shared" si="24"/>
        <v>2.9721147022498164</v>
      </c>
      <c r="S212" s="33">
        <f t="shared" si="13"/>
        <v>5.0449302659794366</v>
      </c>
    </row>
    <row r="213" spans="4:19" ht="13.2" x14ac:dyDescent="0.25">
      <c r="D213" s="15">
        <v>172</v>
      </c>
      <c r="E213" s="39">
        <f t="shared" si="10"/>
        <v>5.5909783805894522</v>
      </c>
      <c r="G213" s="30"/>
      <c r="H213" s="30"/>
      <c r="I213" s="30"/>
      <c r="J213" s="30"/>
      <c r="K213" s="30"/>
      <c r="L213" s="30"/>
      <c r="M213" s="30"/>
      <c r="N213" s="30"/>
      <c r="O213" s="30"/>
      <c r="P213" s="34">
        <f t="shared" si="22"/>
        <v>8.4108267005500642E-2</v>
      </c>
      <c r="Q213" s="37">
        <f t="shared" si="23"/>
        <v>1.5852457540558933</v>
      </c>
      <c r="R213" s="37">
        <f t="shared" si="24"/>
        <v>2.8012249424608404</v>
      </c>
      <c r="S213" s="33">
        <f t="shared" si="13"/>
        <v>4.4705789635222342</v>
      </c>
    </row>
    <row r="214" spans="4:19" ht="13.2" x14ac:dyDescent="0.25">
      <c r="D214" s="38">
        <v>173</v>
      </c>
      <c r="E214" s="39">
        <f t="shared" si="10"/>
        <v>5.6234840688486933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7">
        <f t="shared" si="23"/>
        <v>1.3963461170139599</v>
      </c>
      <c r="R214" s="37">
        <f t="shared" si="24"/>
        <v>2.6303351826718693</v>
      </c>
      <c r="S214" s="33">
        <f t="shared" si="13"/>
        <v>4.026681299685829</v>
      </c>
    </row>
    <row r="215" spans="4:19" ht="13.2" x14ac:dyDescent="0.25">
      <c r="D215" s="32">
        <v>174</v>
      </c>
      <c r="E215" s="39">
        <f t="shared" si="10"/>
        <v>5.6559897571079345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7">
        <f t="shared" si="23"/>
        <v>1.2074464799720293</v>
      </c>
      <c r="R215" s="37">
        <f t="shared" si="24"/>
        <v>2.4594454228828955</v>
      </c>
      <c r="S215" s="33">
        <f t="shared" si="13"/>
        <v>3.6668919028549247</v>
      </c>
    </row>
    <row r="216" spans="4:19" ht="13.2" x14ac:dyDescent="0.25">
      <c r="D216" s="15">
        <v>175</v>
      </c>
      <c r="E216" s="39">
        <f t="shared" si="10"/>
        <v>5.6884954453671757</v>
      </c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7">
        <f t="shared" si="23"/>
        <v>1.0185468429300961</v>
      </c>
      <c r="R216" s="37">
        <f t="shared" si="24"/>
        <v>2.2885556630939217</v>
      </c>
      <c r="S216" s="33">
        <f t="shared" si="13"/>
        <v>3.3071025060240178</v>
      </c>
    </row>
    <row r="217" spans="4:19" ht="13.2" x14ac:dyDescent="0.25">
      <c r="D217" s="38">
        <v>176</v>
      </c>
      <c r="E217" s="39">
        <f t="shared" si="10"/>
        <v>5.7210011336264159</v>
      </c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7">
        <f t="shared" si="23"/>
        <v>0.82964720588816288</v>
      </c>
      <c r="R217" s="37">
        <f t="shared" si="24"/>
        <v>2.1176659033049505</v>
      </c>
      <c r="S217" s="33">
        <f t="shared" si="13"/>
        <v>2.9473131091931135</v>
      </c>
    </row>
    <row r="218" spans="4:19" ht="13.2" x14ac:dyDescent="0.25">
      <c r="D218" s="32">
        <v>177</v>
      </c>
      <c r="E218" s="39">
        <f t="shared" si="10"/>
        <v>5.7535068218856571</v>
      </c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7">
        <f t="shared" si="23"/>
        <v>0.64074756884622963</v>
      </c>
      <c r="R218" s="37">
        <f t="shared" si="24"/>
        <v>1.9467761435159767</v>
      </c>
      <c r="S218" s="33">
        <f t="shared" si="13"/>
        <v>2.5875237123622066</v>
      </c>
    </row>
    <row r="219" spans="4:19" ht="13.2" x14ac:dyDescent="0.25">
      <c r="D219" s="15">
        <v>178</v>
      </c>
      <c r="E219" s="39">
        <f t="shared" si="10"/>
        <v>5.7860125101448983</v>
      </c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7">
        <f t="shared" si="23"/>
        <v>0.4518479318042965</v>
      </c>
      <c r="R219" s="37">
        <f t="shared" si="24"/>
        <v>1.7758863837270029</v>
      </c>
      <c r="S219" s="33">
        <f t="shared" si="13"/>
        <v>2.2277343155312996</v>
      </c>
    </row>
    <row r="220" spans="4:19" ht="13.2" x14ac:dyDescent="0.25">
      <c r="D220" s="38">
        <v>179</v>
      </c>
      <c r="E220" s="39">
        <f t="shared" si="10"/>
        <v>5.8185181984041394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7">
        <f t="shared" si="23"/>
        <v>0.2629482947623657</v>
      </c>
      <c r="R220" s="37">
        <f t="shared" si="24"/>
        <v>1.6049966239380316</v>
      </c>
      <c r="S220" s="33">
        <f t="shared" si="13"/>
        <v>1.8679449187003971</v>
      </c>
    </row>
    <row r="221" spans="4:19" ht="13.2" x14ac:dyDescent="0.25">
      <c r="D221" s="32">
        <v>180</v>
      </c>
      <c r="E221" s="39">
        <f t="shared" si="10"/>
        <v>5.8510238866633806</v>
      </c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7">
        <f t="shared" si="23"/>
        <v>7.4048657720432523E-2</v>
      </c>
      <c r="R221" s="37">
        <f t="shared" si="24"/>
        <v>1.434106864149058</v>
      </c>
      <c r="S221" s="33">
        <f t="shared" si="13"/>
        <v>1.5081555218694904</v>
      </c>
    </row>
    <row r="222" spans="4:19" ht="13.2" x14ac:dyDescent="0.25">
      <c r="D222" s="15">
        <v>181</v>
      </c>
      <c r="E222" s="39">
        <f t="shared" si="10"/>
        <v>5.8835295749226209</v>
      </c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7">
        <f t="shared" si="24"/>
        <v>1.2632171043600842</v>
      </c>
      <c r="S222" s="33">
        <f t="shared" si="13"/>
        <v>1.2632171043600842</v>
      </c>
    </row>
    <row r="223" spans="4:19" ht="13.2" x14ac:dyDescent="0.25">
      <c r="D223" s="38">
        <v>182</v>
      </c>
      <c r="E223" s="39">
        <f t="shared" si="10"/>
        <v>5.916035263181862</v>
      </c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7">
        <f t="shared" si="24"/>
        <v>1.0923273445711128</v>
      </c>
      <c r="S223" s="33">
        <f t="shared" si="13"/>
        <v>1.0923273445711128</v>
      </c>
    </row>
    <row r="224" spans="4:19" ht="13.2" x14ac:dyDescent="0.25">
      <c r="D224" s="32">
        <v>183</v>
      </c>
      <c r="E224" s="39">
        <f t="shared" si="10"/>
        <v>5.9485409514411032</v>
      </c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7">
        <f t="shared" si="24"/>
        <v>0.921437584782139</v>
      </c>
      <c r="S224" s="33">
        <f t="shared" si="13"/>
        <v>0.921437584782139</v>
      </c>
    </row>
    <row r="225" spans="4:19" ht="13.2" x14ac:dyDescent="0.25">
      <c r="D225" s="15">
        <v>184</v>
      </c>
      <c r="E225" s="39">
        <f t="shared" si="10"/>
        <v>5.9810466397003443</v>
      </c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7">
        <f t="shared" si="24"/>
        <v>0.75054782499316541</v>
      </c>
      <c r="S225" s="33">
        <f t="shared" si="13"/>
        <v>0.75054782499316541</v>
      </c>
    </row>
    <row r="226" spans="4:19" ht="13.2" x14ac:dyDescent="0.25">
      <c r="D226" s="38">
        <v>185</v>
      </c>
      <c r="E226" s="39">
        <f t="shared" si="10"/>
        <v>6.0135523279595855</v>
      </c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7">
        <f t="shared" si="24"/>
        <v>0.57965806520419172</v>
      </c>
      <c r="S226" s="33">
        <f t="shared" si="13"/>
        <v>0.57965806520419172</v>
      </c>
    </row>
    <row r="227" spans="4:19" ht="13.2" x14ac:dyDescent="0.25">
      <c r="D227" s="32">
        <v>186</v>
      </c>
      <c r="E227" s="39">
        <f t="shared" si="10"/>
        <v>6.0460580162188267</v>
      </c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7">
        <f t="shared" si="24"/>
        <v>0.40876830541521803</v>
      </c>
      <c r="S227" s="33">
        <f t="shared" si="13"/>
        <v>0.40876830541521803</v>
      </c>
    </row>
    <row r="228" spans="4:19" ht="13.2" x14ac:dyDescent="0.25">
      <c r="D228" s="15">
        <v>187</v>
      </c>
      <c r="E228" s="39">
        <f t="shared" si="10"/>
        <v>6.0785637044780669</v>
      </c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7">
        <f t="shared" si="24"/>
        <v>0.23787854562624658</v>
      </c>
      <c r="S228" s="33">
        <f t="shared" si="13"/>
        <v>0.23787854562624658</v>
      </c>
    </row>
    <row r="229" spans="4:19" ht="13.2" x14ac:dyDescent="0.25">
      <c r="D229" s="38">
        <v>188</v>
      </c>
      <c r="E229" s="39">
        <f t="shared" si="10"/>
        <v>6.1110693927373081</v>
      </c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7">
        <f t="shared" si="24"/>
        <v>6.6988785837272899E-2</v>
      </c>
      <c r="S229" s="40">
        <f t="shared" si="13"/>
        <v>6.6988785837272899E-2</v>
      </c>
    </row>
  </sheetData>
  <mergeCells count="35">
    <mergeCell ref="A1:B1"/>
    <mergeCell ref="A2:B2"/>
    <mergeCell ref="G3:I3"/>
    <mergeCell ref="O3:Q3"/>
    <mergeCell ref="A6:A7"/>
    <mergeCell ref="B6:B7"/>
    <mergeCell ref="B8:B9"/>
    <mergeCell ref="A8:A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A44:A45"/>
    <mergeCell ref="A46:A47"/>
    <mergeCell ref="B46:B47"/>
    <mergeCell ref="A48:A49"/>
    <mergeCell ref="A50:A51"/>
    <mergeCell ref="A52:A53"/>
    <mergeCell ref="B52:B53"/>
    <mergeCell ref="B22:B23"/>
    <mergeCell ref="A38:C38"/>
    <mergeCell ref="A40:A41"/>
    <mergeCell ref="B40:B41"/>
    <mergeCell ref="A42:A43"/>
    <mergeCell ref="B42:B43"/>
    <mergeCell ref="B44:B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29"/>
  <sheetViews>
    <sheetView workbookViewId="0"/>
  </sheetViews>
  <sheetFormatPr baseColWidth="10" defaultColWidth="12.6640625" defaultRowHeight="15.75" customHeight="1" x14ac:dyDescent="0.25"/>
  <cols>
    <col min="1" max="1" width="21.88671875" customWidth="1"/>
    <col min="12" max="12" width="14.88671875" customWidth="1"/>
    <col min="13" max="13" width="15.44140625" customWidth="1"/>
    <col min="15" max="15" width="21.44140625" customWidth="1"/>
    <col min="19" max="19" width="15.6640625" customWidth="1"/>
  </cols>
  <sheetData>
    <row r="1" spans="1:26" ht="13.2" x14ac:dyDescent="0.25">
      <c r="A1" s="52" t="s">
        <v>53</v>
      </c>
      <c r="B1" s="53"/>
      <c r="C1" s="1" t="s">
        <v>1</v>
      </c>
    </row>
    <row r="2" spans="1:26" ht="13.2" x14ac:dyDescent="0.25">
      <c r="A2" s="65" t="s">
        <v>3</v>
      </c>
      <c r="B2" s="5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3.2" x14ac:dyDescent="0.25">
      <c r="C3" s="3"/>
      <c r="G3" s="62" t="s">
        <v>54</v>
      </c>
      <c r="H3" s="53"/>
      <c r="I3" s="53"/>
      <c r="O3" s="62" t="s">
        <v>55</v>
      </c>
      <c r="P3" s="53"/>
      <c r="Q3" s="53"/>
    </row>
    <row r="4" spans="1:26" ht="13.2" x14ac:dyDescent="0.25">
      <c r="A4" s="3"/>
      <c r="B4" s="3"/>
      <c r="C4" s="3"/>
    </row>
    <row r="5" spans="1:26" ht="13.2" x14ac:dyDescent="0.25">
      <c r="A5" s="3" t="s">
        <v>56</v>
      </c>
      <c r="B5" s="3"/>
      <c r="C5" s="3"/>
      <c r="F5" s="14"/>
      <c r="G5" s="15" t="s">
        <v>57</v>
      </c>
      <c r="H5" s="15" t="s">
        <v>58</v>
      </c>
      <c r="I5" s="15" t="s">
        <v>59</v>
      </c>
      <c r="J5" s="15" t="s">
        <v>60</v>
      </c>
      <c r="K5" s="15" t="s">
        <v>113</v>
      </c>
      <c r="L5" s="15" t="s">
        <v>62</v>
      </c>
      <c r="M5" s="15" t="s">
        <v>63</v>
      </c>
      <c r="N5" s="15" t="s">
        <v>64</v>
      </c>
      <c r="O5" s="15" t="s">
        <v>65</v>
      </c>
      <c r="P5" s="15" t="s">
        <v>66</v>
      </c>
      <c r="Q5" s="15" t="s">
        <v>67</v>
      </c>
      <c r="R5" s="15" t="s">
        <v>68</v>
      </c>
      <c r="S5" s="15" t="s">
        <v>69</v>
      </c>
    </row>
    <row r="6" spans="1:26" ht="15.75" customHeight="1" x14ac:dyDescent="0.3">
      <c r="A6" s="48" t="s">
        <v>4</v>
      </c>
      <c r="B6" s="51">
        <f>(0.4*(D6^0.77))/D7^0.385</f>
        <v>0.54945990262695543</v>
      </c>
      <c r="C6" s="4" t="s">
        <v>5</v>
      </c>
      <c r="D6" s="41">
        <v>1.94</v>
      </c>
      <c r="F6" s="15">
        <v>1</v>
      </c>
      <c r="G6" s="18">
        <f>B6/7</f>
        <v>7.8494271803850782E-2</v>
      </c>
      <c r="H6" s="19">
        <f t="shared" ref="H6:H17" si="0">IF(G6&lt;=3,0.6208*G6/(G6+0.0137)^0.5639,1.0287*G6/(G6+1.0293)^0.8083)</f>
        <v>0.18689303738095178</v>
      </c>
      <c r="I6" s="18">
        <f t="shared" ref="I6:I17" si="1">0.5786-0.4312*LOG10(LN($B$12/($B$12-1)))</f>
        <v>1.0000212949130891</v>
      </c>
      <c r="J6" s="20">
        <f t="shared" ref="J6:J17" si="2">1-(0.3549*(G6^-0.4272))*(1-EXP(-0.005792*$B$8))</f>
        <v>0.98673362099368844</v>
      </c>
      <c r="K6" s="18">
        <f t="shared" ref="K6:K17" si="3">$B$14</f>
        <v>98</v>
      </c>
      <c r="L6" s="19">
        <f t="shared" ref="L6:L17" si="4">H6*I6*J6*K6</f>
        <v>18.072921917420786</v>
      </c>
      <c r="M6" s="19">
        <f>L6</f>
        <v>18.072921917420786</v>
      </c>
      <c r="N6" s="19">
        <f>M17</f>
        <v>2.2302662917836287</v>
      </c>
      <c r="O6" s="19">
        <f>N6</f>
        <v>2.2302662917836287</v>
      </c>
      <c r="P6" s="18">
        <f t="shared" ref="P6:P17" si="5">IF(O6&lt;=$B$22,0,(O6-$B$22)^2/(O6+0.8*$B$20))</f>
        <v>0</v>
      </c>
      <c r="Q6" s="18">
        <f>P6</f>
        <v>0</v>
      </c>
      <c r="R6" s="19">
        <f t="shared" ref="R6:R17" si="6">IF((N6-Q6)&gt;$B$16*$G$6,N6-Q6,$B$16*$G$6)</f>
        <v>2.2302662917836287</v>
      </c>
      <c r="S6" s="19">
        <f t="shared" ref="S6:S17" si="7">N6-R6</f>
        <v>0</v>
      </c>
    </row>
    <row r="7" spans="1:26" ht="15.75" customHeight="1" x14ac:dyDescent="0.3">
      <c r="A7" s="50"/>
      <c r="B7" s="50"/>
      <c r="C7" s="4" t="s">
        <v>6</v>
      </c>
      <c r="D7" s="42">
        <v>1.65</v>
      </c>
      <c r="F7" s="15">
        <v>2</v>
      </c>
      <c r="G7" s="18">
        <f>G6*2</f>
        <v>0.15698854360770156</v>
      </c>
      <c r="H7" s="19">
        <f t="shared" si="0"/>
        <v>0.26410682415581344</v>
      </c>
      <c r="I7" s="18">
        <f t="shared" si="1"/>
        <v>1.0000212949130891</v>
      </c>
      <c r="J7" s="20">
        <f t="shared" si="2"/>
        <v>0.99013374385460518</v>
      </c>
      <c r="K7" s="18">
        <f t="shared" si="3"/>
        <v>98</v>
      </c>
      <c r="L7" s="19">
        <f t="shared" si="4"/>
        <v>25.627651427725276</v>
      </c>
      <c r="M7" s="19">
        <f t="shared" ref="M7:M17" si="8">L7-L6</f>
        <v>7.5547295103044902</v>
      </c>
      <c r="N7" s="19">
        <f>M15</f>
        <v>2.4895452170327204</v>
      </c>
      <c r="O7" s="19">
        <f>SUM(N6:N7)</f>
        <v>4.719811508816349</v>
      </c>
      <c r="P7" s="18">
        <f t="shared" si="5"/>
        <v>0</v>
      </c>
      <c r="Q7" s="18">
        <f t="shared" ref="Q7:Q17" si="9">P7-P6</f>
        <v>0</v>
      </c>
      <c r="R7" s="19">
        <f t="shared" si="6"/>
        <v>2.4895452170327204</v>
      </c>
      <c r="S7" s="19">
        <f t="shared" si="7"/>
        <v>0</v>
      </c>
    </row>
    <row r="8" spans="1:26" ht="15.75" customHeight="1" x14ac:dyDescent="0.3">
      <c r="A8" s="48" t="s">
        <v>70</v>
      </c>
      <c r="B8" s="66">
        <v>2.19</v>
      </c>
      <c r="F8" s="15">
        <v>3</v>
      </c>
      <c r="G8" s="18">
        <f>G6*3</f>
        <v>0.23548281541155236</v>
      </c>
      <c r="H8" s="19">
        <f t="shared" si="0"/>
        <v>0.32004745476531765</v>
      </c>
      <c r="I8" s="18">
        <f t="shared" si="1"/>
        <v>1.0000212949130891</v>
      </c>
      <c r="J8" s="20">
        <f t="shared" si="2"/>
        <v>0.99170290236825565</v>
      </c>
      <c r="K8" s="18">
        <f t="shared" si="3"/>
        <v>98</v>
      </c>
      <c r="L8" s="19">
        <f t="shared" si="4"/>
        <v>31.105077364875271</v>
      </c>
      <c r="M8" s="19">
        <f t="shared" si="8"/>
        <v>5.4774259371499951</v>
      </c>
      <c r="N8" s="19">
        <f>M13</f>
        <v>2.8542947786885193</v>
      </c>
      <c r="O8" s="19">
        <f>SUM(N6:N8)</f>
        <v>7.5741062875048684</v>
      </c>
      <c r="P8" s="18">
        <f t="shared" si="5"/>
        <v>0</v>
      </c>
      <c r="Q8" s="18">
        <f t="shared" si="9"/>
        <v>0</v>
      </c>
      <c r="R8" s="19">
        <f t="shared" si="6"/>
        <v>2.8542947786885193</v>
      </c>
      <c r="S8" s="19">
        <f t="shared" si="7"/>
        <v>0</v>
      </c>
    </row>
    <row r="9" spans="1:26" ht="15.75" customHeight="1" x14ac:dyDescent="0.3">
      <c r="A9" s="50"/>
      <c r="B9" s="50"/>
      <c r="F9" s="15">
        <v>4</v>
      </c>
      <c r="G9" s="18">
        <f>G6*4</f>
        <v>0.31397708721540313</v>
      </c>
      <c r="H9" s="19">
        <f t="shared" si="0"/>
        <v>0.36567024524354197</v>
      </c>
      <c r="I9" s="18">
        <f t="shared" si="1"/>
        <v>1.0000212949130891</v>
      </c>
      <c r="J9" s="20">
        <f t="shared" si="2"/>
        <v>0.992662428061174</v>
      </c>
      <c r="K9" s="18">
        <f t="shared" si="3"/>
        <v>98</v>
      </c>
      <c r="L9" s="19">
        <f t="shared" si="4"/>
        <v>35.573494642636973</v>
      </c>
      <c r="M9" s="19">
        <f t="shared" si="8"/>
        <v>4.4684172777617022</v>
      </c>
      <c r="N9" s="19">
        <f>M11</f>
        <v>3.4198839179972751</v>
      </c>
      <c r="O9" s="19">
        <f>SUM(N6:N9)</f>
        <v>10.993990205502143</v>
      </c>
      <c r="P9" s="18">
        <f t="shared" si="5"/>
        <v>0</v>
      </c>
      <c r="Q9" s="18">
        <f t="shared" si="9"/>
        <v>0</v>
      </c>
      <c r="R9" s="19">
        <f t="shared" si="6"/>
        <v>3.4198839179972751</v>
      </c>
      <c r="S9" s="19">
        <f t="shared" si="7"/>
        <v>0</v>
      </c>
    </row>
    <row r="10" spans="1:26" ht="15.75" customHeight="1" x14ac:dyDescent="0.3">
      <c r="A10" s="48" t="s">
        <v>71</v>
      </c>
      <c r="B10" s="51">
        <f>B6*12/7</f>
        <v>0.94193126164620922</v>
      </c>
      <c r="F10" s="15">
        <v>5</v>
      </c>
      <c r="G10" s="18">
        <f>G6*5</f>
        <v>0.3924713590192539</v>
      </c>
      <c r="H10" s="19">
        <f t="shared" si="0"/>
        <v>0.40495662224356671</v>
      </c>
      <c r="I10" s="18">
        <f t="shared" si="1"/>
        <v>1.0000212949130891</v>
      </c>
      <c r="J10" s="20">
        <f t="shared" si="2"/>
        <v>0.9933295917546493</v>
      </c>
      <c r="K10" s="18">
        <f t="shared" si="3"/>
        <v>98</v>
      </c>
      <c r="L10" s="19">
        <f t="shared" si="4"/>
        <v>39.421868300034177</v>
      </c>
      <c r="M10" s="19">
        <f t="shared" si="8"/>
        <v>3.8483736573972038</v>
      </c>
      <c r="N10" s="19">
        <f>M9</f>
        <v>4.4684172777617022</v>
      </c>
      <c r="O10" s="19">
        <f>SUM(N6:N10)</f>
        <v>15.462407483263846</v>
      </c>
      <c r="P10" s="18">
        <f t="shared" si="5"/>
        <v>1.7676550354331428E-2</v>
      </c>
      <c r="Q10" s="18">
        <f t="shared" si="9"/>
        <v>1.7676550354331428E-2</v>
      </c>
      <c r="R10" s="19">
        <f t="shared" si="6"/>
        <v>4.4507407274073705</v>
      </c>
      <c r="S10" s="19">
        <f t="shared" si="7"/>
        <v>1.7676550354331688E-2</v>
      </c>
    </row>
    <row r="11" spans="1:26" ht="15.75" customHeight="1" x14ac:dyDescent="0.3">
      <c r="A11" s="50"/>
      <c r="B11" s="50"/>
      <c r="F11" s="15">
        <v>6</v>
      </c>
      <c r="G11" s="18">
        <f>G6*6</f>
        <v>0.47096563082310472</v>
      </c>
      <c r="H11" s="19">
        <f t="shared" si="0"/>
        <v>0.4398656552765019</v>
      </c>
      <c r="I11" s="18">
        <f t="shared" si="1"/>
        <v>1.0000212949130891</v>
      </c>
      <c r="J11" s="20">
        <f t="shared" si="2"/>
        <v>0.99382941717109152</v>
      </c>
      <c r="K11" s="18">
        <f t="shared" si="3"/>
        <v>98</v>
      </c>
      <c r="L11" s="19">
        <f t="shared" si="4"/>
        <v>42.841752218031452</v>
      </c>
      <c r="M11" s="19">
        <f t="shared" si="8"/>
        <v>3.4198839179972751</v>
      </c>
      <c r="N11" s="19">
        <f>M7</f>
        <v>7.5547295103044902</v>
      </c>
      <c r="O11" s="19">
        <f>SUM(N6:N11)</f>
        <v>23.017136993568336</v>
      </c>
      <c r="P11" s="18">
        <f t="shared" si="5"/>
        <v>0.93984285943285328</v>
      </c>
      <c r="Q11" s="18">
        <f t="shared" si="9"/>
        <v>0.92216630907852182</v>
      </c>
      <c r="R11" s="19">
        <f t="shared" si="6"/>
        <v>6.6325632012259685</v>
      </c>
      <c r="S11" s="19">
        <f t="shared" si="7"/>
        <v>0.92216630907852171</v>
      </c>
    </row>
    <row r="12" spans="1:26" ht="15.75" customHeight="1" x14ac:dyDescent="0.3">
      <c r="A12" s="48" t="s">
        <v>72</v>
      </c>
      <c r="B12" s="63">
        <v>10</v>
      </c>
      <c r="F12" s="15">
        <v>7</v>
      </c>
      <c r="G12" s="21">
        <f>G6*7</f>
        <v>0.54945990262695543</v>
      </c>
      <c r="H12" s="22">
        <f t="shared" si="0"/>
        <v>0.47152691038034983</v>
      </c>
      <c r="I12" s="21">
        <f t="shared" si="1"/>
        <v>1.0000212949130891</v>
      </c>
      <c r="J12" s="23">
        <f t="shared" si="2"/>
        <v>0.99422267874382342</v>
      </c>
      <c r="K12" s="21">
        <f t="shared" si="3"/>
        <v>98</v>
      </c>
      <c r="L12" s="22">
        <f t="shared" si="4"/>
        <v>45.943647643088489</v>
      </c>
      <c r="M12" s="22">
        <f t="shared" si="8"/>
        <v>3.1018954250570374</v>
      </c>
      <c r="N12" s="22">
        <f>M6</f>
        <v>18.072921917420786</v>
      </c>
      <c r="O12" s="22">
        <f>SUM(N6:N12)</f>
        <v>41.090058910989121</v>
      </c>
      <c r="P12" s="21">
        <f t="shared" si="5"/>
        <v>7.2782099678865517</v>
      </c>
      <c r="Q12" s="21">
        <f t="shared" si="9"/>
        <v>6.3383671084536983</v>
      </c>
      <c r="R12" s="21">
        <f t="shared" si="6"/>
        <v>11.734554808967086</v>
      </c>
      <c r="S12" s="22">
        <f t="shared" si="7"/>
        <v>6.3383671084536992</v>
      </c>
    </row>
    <row r="13" spans="1:26" ht="15.75" customHeight="1" x14ac:dyDescent="0.3">
      <c r="A13" s="50"/>
      <c r="B13" s="50"/>
      <c r="F13" s="15">
        <v>8</v>
      </c>
      <c r="G13" s="18">
        <f>G6*8</f>
        <v>0.62795417443080626</v>
      </c>
      <c r="H13" s="19">
        <f t="shared" si="0"/>
        <v>0.50065967445748061</v>
      </c>
      <c r="I13" s="18">
        <f t="shared" si="1"/>
        <v>1.0000212949130891</v>
      </c>
      <c r="J13" s="20">
        <f t="shared" si="2"/>
        <v>0.99454302005096673</v>
      </c>
      <c r="K13" s="18">
        <f t="shared" si="3"/>
        <v>98</v>
      </c>
      <c r="L13" s="19">
        <f t="shared" si="4"/>
        <v>48.797942421777009</v>
      </c>
      <c r="M13" s="19">
        <f t="shared" si="8"/>
        <v>2.8542947786885193</v>
      </c>
      <c r="N13" s="19">
        <f>M8</f>
        <v>5.4774259371499951</v>
      </c>
      <c r="O13" s="19">
        <f>SUM(N6:N13)</f>
        <v>46.567484848139117</v>
      </c>
      <c r="P13" s="18">
        <f t="shared" si="5"/>
        <v>10.005468825381064</v>
      </c>
      <c r="Q13" s="18">
        <f t="shared" si="9"/>
        <v>2.7272588574945118</v>
      </c>
      <c r="R13" s="19">
        <f t="shared" si="6"/>
        <v>2.7501670796554833</v>
      </c>
      <c r="S13" s="19">
        <f t="shared" si="7"/>
        <v>2.7272588574945118</v>
      </c>
    </row>
    <row r="14" spans="1:26" ht="15.75" customHeight="1" x14ac:dyDescent="0.3">
      <c r="A14" s="48" t="s">
        <v>73</v>
      </c>
      <c r="B14" s="63">
        <v>98</v>
      </c>
      <c r="F14" s="15">
        <v>9</v>
      </c>
      <c r="G14" s="18">
        <f>G6*9</f>
        <v>0.70644844623465708</v>
      </c>
      <c r="H14" s="19">
        <f t="shared" si="0"/>
        <v>0.5277544463397974</v>
      </c>
      <c r="I14" s="18">
        <f t="shared" si="1"/>
        <v>1.0000212949130891</v>
      </c>
      <c r="J14" s="20">
        <f t="shared" si="2"/>
        <v>0.99481080488670304</v>
      </c>
      <c r="K14" s="18">
        <f t="shared" si="3"/>
        <v>98</v>
      </c>
      <c r="L14" s="19">
        <f t="shared" si="4"/>
        <v>51.45264655979615</v>
      </c>
      <c r="M14" s="19">
        <f t="shared" si="8"/>
        <v>2.6547041380191416</v>
      </c>
      <c r="N14" s="19">
        <f>M10</f>
        <v>3.8483736573972038</v>
      </c>
      <c r="O14" s="19">
        <f>SUM(N6:N14)</f>
        <v>50.41585850553632</v>
      </c>
      <c r="P14" s="18">
        <f t="shared" si="5"/>
        <v>12.088876779603785</v>
      </c>
      <c r="Q14" s="18">
        <f t="shared" si="9"/>
        <v>2.0834079542227215</v>
      </c>
      <c r="R14" s="19">
        <f t="shared" si="6"/>
        <v>1.7649657031744823</v>
      </c>
      <c r="S14" s="19">
        <f t="shared" si="7"/>
        <v>2.0834079542227215</v>
      </c>
    </row>
    <row r="15" spans="1:26" ht="15.75" customHeight="1" x14ac:dyDescent="0.3">
      <c r="A15" s="50"/>
      <c r="B15" s="50"/>
      <c r="F15" s="15">
        <v>10</v>
      </c>
      <c r="G15" s="18">
        <f>G6*10</f>
        <v>0.78494271803850779</v>
      </c>
      <c r="H15" s="19">
        <f t="shared" si="0"/>
        <v>0.55316294224834606</v>
      </c>
      <c r="I15" s="18">
        <f t="shared" si="1"/>
        <v>1.0000212949130891</v>
      </c>
      <c r="J15" s="20">
        <f t="shared" si="2"/>
        <v>0.99503919220823756</v>
      </c>
      <c r="K15" s="18">
        <f t="shared" si="3"/>
        <v>98</v>
      </c>
      <c r="L15" s="19">
        <f t="shared" si="4"/>
        <v>53.942191776828871</v>
      </c>
      <c r="M15" s="19">
        <f t="shared" si="8"/>
        <v>2.4895452170327204</v>
      </c>
      <c r="N15" s="19">
        <f>M12</f>
        <v>3.1018954250570374</v>
      </c>
      <c r="O15" s="19">
        <f>SUM(N6:N15)</f>
        <v>53.517753930593358</v>
      </c>
      <c r="P15" s="18">
        <f t="shared" si="5"/>
        <v>13.857374132071326</v>
      </c>
      <c r="Q15" s="18">
        <f t="shared" si="9"/>
        <v>1.7684973524675414</v>
      </c>
      <c r="R15" s="19">
        <f t="shared" si="6"/>
        <v>1.3333980725894961</v>
      </c>
      <c r="S15" s="19">
        <f t="shared" si="7"/>
        <v>1.7684973524675414</v>
      </c>
    </row>
    <row r="16" spans="1:26" ht="15.75" customHeight="1" x14ac:dyDescent="0.3">
      <c r="A16" s="48" t="s">
        <v>74</v>
      </c>
      <c r="B16" s="63">
        <v>1.2</v>
      </c>
      <c r="C16" s="4" t="s">
        <v>75</v>
      </c>
      <c r="D16" s="4" t="s">
        <v>76</v>
      </c>
      <c r="F16" s="15">
        <v>11</v>
      </c>
      <c r="G16" s="18">
        <f>G6*11</f>
        <v>0.86343698984235862</v>
      </c>
      <c r="H16" s="19">
        <f t="shared" si="0"/>
        <v>0.57714725799354549</v>
      </c>
      <c r="I16" s="18">
        <f t="shared" si="1"/>
        <v>1.0000212949130891</v>
      </c>
      <c r="J16" s="20">
        <f t="shared" si="2"/>
        <v>0.99523712213086257</v>
      </c>
      <c r="K16" s="18">
        <f t="shared" si="3"/>
        <v>98</v>
      </c>
      <c r="L16" s="19">
        <f t="shared" si="4"/>
        <v>56.292239569761783</v>
      </c>
      <c r="M16" s="19">
        <f t="shared" si="8"/>
        <v>2.3500477929329122</v>
      </c>
      <c r="N16" s="19">
        <f>M14</f>
        <v>2.6547041380191416</v>
      </c>
      <c r="O16" s="19">
        <f>SUM(N6:N16)</f>
        <v>56.172458068612499</v>
      </c>
      <c r="P16" s="18">
        <f t="shared" si="5"/>
        <v>15.428798572181126</v>
      </c>
      <c r="Q16" s="18">
        <f t="shared" si="9"/>
        <v>1.5714244401097996</v>
      </c>
      <c r="R16" s="19">
        <f t="shared" si="6"/>
        <v>1.083279697909342</v>
      </c>
      <c r="S16" s="19">
        <f t="shared" si="7"/>
        <v>1.5714244401097996</v>
      </c>
    </row>
    <row r="17" spans="1:19" ht="15.75" customHeight="1" x14ac:dyDescent="0.3">
      <c r="A17" s="50"/>
      <c r="B17" s="50"/>
      <c r="C17" s="4" t="s">
        <v>77</v>
      </c>
      <c r="D17" s="4" t="s">
        <v>78</v>
      </c>
      <c r="F17" s="15">
        <v>12</v>
      </c>
      <c r="G17" s="18">
        <f>G6*12</f>
        <v>0.94193126164620944</v>
      </c>
      <c r="H17" s="19">
        <f t="shared" si="0"/>
        <v>0.59990874344116907</v>
      </c>
      <c r="I17" s="18">
        <f t="shared" si="1"/>
        <v>1.0000212949130891</v>
      </c>
      <c r="J17" s="20">
        <f t="shared" si="2"/>
        <v>0.99541091425720452</v>
      </c>
      <c r="K17" s="18">
        <f t="shared" si="3"/>
        <v>98</v>
      </c>
      <c r="L17" s="19">
        <f t="shared" si="4"/>
        <v>58.522505861545412</v>
      </c>
      <c r="M17" s="19">
        <f t="shared" si="8"/>
        <v>2.2302662917836287</v>
      </c>
      <c r="N17" s="19">
        <f>M16</f>
        <v>2.3500477929329122</v>
      </c>
      <c r="O17" s="19">
        <f>SUM(N6:N17)</f>
        <v>58.522505861545412</v>
      </c>
      <c r="P17" s="18">
        <f t="shared" si="5"/>
        <v>16.861317513766213</v>
      </c>
      <c r="Q17" s="18">
        <f t="shared" si="9"/>
        <v>1.4325189415850872</v>
      </c>
      <c r="R17" s="19">
        <f t="shared" si="6"/>
        <v>0.91752885134782503</v>
      </c>
      <c r="S17" s="19">
        <f t="shared" si="7"/>
        <v>1.4325189415850872</v>
      </c>
    </row>
    <row r="18" spans="1:19" ht="13.2" x14ac:dyDescent="0.25">
      <c r="A18" s="48" t="s">
        <v>79</v>
      </c>
      <c r="B18" s="63">
        <v>78</v>
      </c>
      <c r="G18" s="3"/>
      <c r="H18" s="3"/>
      <c r="I18" s="3"/>
      <c r="J18" s="3"/>
      <c r="K18" s="3"/>
      <c r="L18" s="3"/>
      <c r="M18" s="3"/>
      <c r="N18" s="3"/>
    </row>
    <row r="19" spans="1:19" ht="13.2" x14ac:dyDescent="0.25">
      <c r="A19" s="50"/>
      <c r="B19" s="50"/>
      <c r="G19" s="3"/>
      <c r="H19" s="3"/>
      <c r="I19" s="3"/>
      <c r="J19" s="3"/>
      <c r="K19" s="3"/>
      <c r="L19" s="3"/>
      <c r="M19" s="3"/>
      <c r="N19" s="3"/>
      <c r="O19" s="24" t="s">
        <v>80</v>
      </c>
    </row>
    <row r="20" spans="1:19" ht="13.2" x14ac:dyDescent="0.25">
      <c r="A20" s="48" t="s">
        <v>81</v>
      </c>
      <c r="B20" s="61">
        <f>25.4*((1000/B18)-10)</f>
        <v>71.641025641025649</v>
      </c>
      <c r="C20" s="24" t="s">
        <v>82</v>
      </c>
      <c r="G20" s="3"/>
      <c r="H20" s="3"/>
      <c r="I20" s="3"/>
      <c r="J20" s="3"/>
      <c r="K20" s="3"/>
      <c r="L20" s="3"/>
      <c r="M20" s="3"/>
      <c r="N20" s="3"/>
    </row>
    <row r="21" spans="1:19" ht="13.2" x14ac:dyDescent="0.25">
      <c r="A21" s="50"/>
      <c r="B21" s="50"/>
      <c r="G21" s="3"/>
      <c r="H21" s="3"/>
      <c r="I21" s="3"/>
      <c r="J21" s="3"/>
      <c r="K21" s="3"/>
      <c r="L21" s="3"/>
      <c r="M21" s="3"/>
      <c r="N21" s="3"/>
    </row>
    <row r="22" spans="1:19" ht="13.2" x14ac:dyDescent="0.25">
      <c r="A22" s="48" t="s">
        <v>83</v>
      </c>
      <c r="B22" s="61">
        <f>0.2*B20</f>
        <v>14.328205128205131</v>
      </c>
      <c r="C22" s="24" t="s">
        <v>84</v>
      </c>
      <c r="G22" s="3"/>
      <c r="H22" s="3"/>
      <c r="I22" s="3"/>
      <c r="J22" s="3"/>
      <c r="K22" s="3"/>
      <c r="L22" s="3"/>
      <c r="M22" s="3"/>
      <c r="N22" s="3"/>
    </row>
    <row r="23" spans="1:19" ht="13.2" x14ac:dyDescent="0.25">
      <c r="A23" s="50"/>
      <c r="B23" s="50"/>
    </row>
    <row r="38" spans="1:20" ht="13.2" x14ac:dyDescent="0.25">
      <c r="A38" s="62" t="s">
        <v>85</v>
      </c>
      <c r="B38" s="53"/>
      <c r="C38" s="53"/>
    </row>
    <row r="40" spans="1:20" ht="13.2" x14ac:dyDescent="0.25">
      <c r="A40" s="48" t="s">
        <v>114</v>
      </c>
      <c r="B40" s="61">
        <f>B6/7</f>
        <v>7.8494271803850782E-2</v>
      </c>
      <c r="D40" s="15" t="s">
        <v>87</v>
      </c>
      <c r="E40" s="14" t="s">
        <v>88</v>
      </c>
      <c r="F40" s="14" t="s">
        <v>89</v>
      </c>
      <c r="G40" s="14" t="s">
        <v>90</v>
      </c>
      <c r="H40" s="14" t="s">
        <v>91</v>
      </c>
      <c r="I40" s="14" t="s">
        <v>92</v>
      </c>
      <c r="J40" s="14" t="s">
        <v>93</v>
      </c>
      <c r="K40" s="14" t="s">
        <v>94</v>
      </c>
      <c r="L40" s="14" t="s">
        <v>95</v>
      </c>
      <c r="M40" s="14" t="s">
        <v>96</v>
      </c>
      <c r="N40" s="14" t="s">
        <v>97</v>
      </c>
      <c r="O40" s="14" t="s">
        <v>98</v>
      </c>
      <c r="P40" s="14" t="s">
        <v>99</v>
      </c>
      <c r="Q40" s="14" t="s">
        <v>100</v>
      </c>
      <c r="R40" s="14" t="s">
        <v>101</v>
      </c>
      <c r="S40" s="25" t="s">
        <v>102</v>
      </c>
      <c r="T40" s="26" t="s">
        <v>103</v>
      </c>
    </row>
    <row r="41" spans="1:20" ht="13.2" x14ac:dyDescent="0.25">
      <c r="A41" s="50"/>
      <c r="B41" s="50"/>
      <c r="D41" s="25">
        <v>0</v>
      </c>
      <c r="E41" s="27">
        <f t="shared" ref="E41:E229" si="10">D41*($B$40/8)</f>
        <v>0</v>
      </c>
      <c r="F41" s="28">
        <f t="shared" ref="F41:F141" si="11">IF($B$42&gt;E41,$C$48*E41,$C$50*E41+$C$51)</f>
        <v>0</v>
      </c>
      <c r="G41" s="29">
        <f t="shared" ref="G41:G141" si="12">$S$6*F41</f>
        <v>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28">
        <f t="shared" ref="S41:S229" si="13">SUM(G41:R41)</f>
        <v>0</v>
      </c>
      <c r="T41" s="31">
        <f>MAX(S41:S229)</f>
        <v>15.513337943584791</v>
      </c>
    </row>
    <row r="42" spans="1:20" ht="13.2" x14ac:dyDescent="0.25">
      <c r="A42" s="48" t="s">
        <v>104</v>
      </c>
      <c r="B42" s="61">
        <f>B40/2+0.6*$B$6</f>
        <v>0.36892307747809866</v>
      </c>
      <c r="D42" s="32">
        <v>1</v>
      </c>
      <c r="E42" s="27">
        <f t="shared" si="10"/>
        <v>9.8117839754813477E-3</v>
      </c>
      <c r="F42" s="28">
        <f t="shared" si="11"/>
        <v>3.2838535609745055E-2</v>
      </c>
      <c r="G42" s="29">
        <f t="shared" si="12"/>
        <v>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3">
        <f t="shared" si="13"/>
        <v>0</v>
      </c>
    </row>
    <row r="43" spans="1:20" ht="13.2" x14ac:dyDescent="0.25">
      <c r="A43" s="50"/>
      <c r="B43" s="50"/>
      <c r="D43" s="32">
        <v>2</v>
      </c>
      <c r="E43" s="27">
        <f t="shared" si="10"/>
        <v>1.9623567950962695E-2</v>
      </c>
      <c r="F43" s="28">
        <f t="shared" si="11"/>
        <v>6.567707121949011E-2</v>
      </c>
      <c r="G43" s="29">
        <f t="shared" si="12"/>
        <v>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3">
        <f t="shared" si="13"/>
        <v>0</v>
      </c>
    </row>
    <row r="44" spans="1:20" ht="13.2" x14ac:dyDescent="0.25">
      <c r="A44" s="48" t="s">
        <v>105</v>
      </c>
      <c r="B44" s="61">
        <f>B42*2.667</f>
        <v>0.98391784763408907</v>
      </c>
      <c r="D44" s="32">
        <v>3</v>
      </c>
      <c r="E44" s="27">
        <f t="shared" si="10"/>
        <v>2.9435351926444045E-2</v>
      </c>
      <c r="F44" s="28">
        <f t="shared" si="11"/>
        <v>9.8515606829235172E-2</v>
      </c>
      <c r="G44" s="29">
        <f t="shared" si="12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3">
        <f t="shared" si="13"/>
        <v>0</v>
      </c>
    </row>
    <row r="45" spans="1:20" ht="13.2" x14ac:dyDescent="0.25">
      <c r="A45" s="50"/>
      <c r="B45" s="50"/>
      <c r="D45" s="32">
        <v>4</v>
      </c>
      <c r="E45" s="27">
        <f t="shared" si="10"/>
        <v>3.9247135901925391E-2</v>
      </c>
      <c r="F45" s="28">
        <f t="shared" si="11"/>
        <v>0.13135414243898022</v>
      </c>
      <c r="G45" s="29">
        <f t="shared" si="12"/>
        <v>0</v>
      </c>
      <c r="H45" s="34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3">
        <f t="shared" si="13"/>
        <v>0</v>
      </c>
    </row>
    <row r="46" spans="1:20" ht="13.2" x14ac:dyDescent="0.25">
      <c r="A46" s="48" t="s">
        <v>106</v>
      </c>
      <c r="B46" s="61">
        <f>2.08*B8/B42</f>
        <v>12.347289389264141</v>
      </c>
      <c r="D46" s="32">
        <v>5</v>
      </c>
      <c r="E46" s="27">
        <f t="shared" si="10"/>
        <v>4.9058919877406737E-2</v>
      </c>
      <c r="F46" s="28">
        <f t="shared" si="11"/>
        <v>0.16419267804872528</v>
      </c>
      <c r="G46" s="29">
        <f t="shared" si="12"/>
        <v>0</v>
      </c>
      <c r="H46" s="34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3">
        <f t="shared" si="13"/>
        <v>0</v>
      </c>
    </row>
    <row r="47" spans="1:20" ht="13.2" x14ac:dyDescent="0.25">
      <c r="A47" s="50"/>
      <c r="B47" s="50"/>
      <c r="D47" s="32">
        <v>6</v>
      </c>
      <c r="E47" s="27">
        <f t="shared" si="10"/>
        <v>5.887070385288809E-2</v>
      </c>
      <c r="F47" s="28">
        <f t="shared" si="11"/>
        <v>0.19703121365847034</v>
      </c>
      <c r="G47" s="29">
        <f t="shared" si="12"/>
        <v>0</v>
      </c>
      <c r="H47" s="34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3">
        <f t="shared" si="13"/>
        <v>0</v>
      </c>
    </row>
    <row r="48" spans="1:20" ht="13.2" x14ac:dyDescent="0.25">
      <c r="A48" s="48" t="s">
        <v>107</v>
      </c>
      <c r="B48" s="35" t="s">
        <v>108</v>
      </c>
      <c r="C48" s="36">
        <f>(B46/10)/B42</f>
        <v>3.3468465767087028</v>
      </c>
      <c r="D48" s="32">
        <v>7</v>
      </c>
      <c r="E48" s="27">
        <f t="shared" si="10"/>
        <v>6.8682487828369429E-2</v>
      </c>
      <c r="F48" s="28">
        <f t="shared" si="11"/>
        <v>0.22986974926821538</v>
      </c>
      <c r="G48" s="29">
        <f t="shared" si="12"/>
        <v>0</v>
      </c>
      <c r="H48" s="34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3">
        <f t="shared" si="13"/>
        <v>0</v>
      </c>
    </row>
    <row r="49" spans="1:19" ht="13.2" x14ac:dyDescent="0.25">
      <c r="A49" s="50"/>
      <c r="B49" s="35" t="s">
        <v>109</v>
      </c>
      <c r="C49" s="36">
        <v>0</v>
      </c>
      <c r="D49" s="32">
        <v>8</v>
      </c>
      <c r="E49" s="27">
        <f t="shared" si="10"/>
        <v>7.8494271803850782E-2</v>
      </c>
      <c r="F49" s="28">
        <f t="shared" si="11"/>
        <v>0.26270828487796044</v>
      </c>
      <c r="G49" s="29">
        <f t="shared" si="12"/>
        <v>0</v>
      </c>
      <c r="H49" s="34">
        <f t="shared" ref="H49:H149" si="14">F41*$S$7</f>
        <v>0</v>
      </c>
      <c r="I49" s="34"/>
      <c r="J49" s="30"/>
      <c r="K49" s="30"/>
      <c r="L49" s="30"/>
      <c r="M49" s="30"/>
      <c r="N49" s="30"/>
      <c r="O49" s="30"/>
      <c r="P49" s="30"/>
      <c r="Q49" s="30"/>
      <c r="R49" s="30"/>
      <c r="S49" s="33">
        <f t="shared" si="13"/>
        <v>0</v>
      </c>
    </row>
    <row r="50" spans="1:19" ht="13.2" x14ac:dyDescent="0.25">
      <c r="A50" s="48" t="s">
        <v>110</v>
      </c>
      <c r="B50" s="35" t="s">
        <v>111</v>
      </c>
      <c r="C50" s="36">
        <f>-(B46/10)/(1.67*B42)</f>
        <v>-2.0040997465321575</v>
      </c>
      <c r="D50" s="32">
        <v>9</v>
      </c>
      <c r="E50" s="27">
        <f t="shared" si="10"/>
        <v>8.8306055779332135E-2</v>
      </c>
      <c r="F50" s="28">
        <f t="shared" si="11"/>
        <v>0.29554682048770553</v>
      </c>
      <c r="G50" s="29">
        <f t="shared" si="12"/>
        <v>0</v>
      </c>
      <c r="H50" s="34">
        <f t="shared" si="14"/>
        <v>0</v>
      </c>
      <c r="I50" s="34"/>
      <c r="J50" s="30"/>
      <c r="K50" s="30"/>
      <c r="L50" s="30"/>
      <c r="M50" s="30"/>
      <c r="N50" s="30"/>
      <c r="O50" s="30"/>
      <c r="P50" s="30"/>
      <c r="Q50" s="30"/>
      <c r="R50" s="30"/>
      <c r="S50" s="33">
        <f t="shared" si="13"/>
        <v>0</v>
      </c>
    </row>
    <row r="51" spans="1:19" ht="13.2" x14ac:dyDescent="0.25">
      <c r="A51" s="50"/>
      <c r="B51" s="35" t="s">
        <v>112</v>
      </c>
      <c r="C51" s="18">
        <f>B46/10+((B46/10)/1.67)</f>
        <v>1.9740875849901349</v>
      </c>
      <c r="D51" s="32">
        <v>10</v>
      </c>
      <c r="E51" s="27">
        <f t="shared" si="10"/>
        <v>9.8117839754813474E-2</v>
      </c>
      <c r="F51" s="28">
        <f t="shared" si="11"/>
        <v>0.32838535609745056</v>
      </c>
      <c r="G51" s="29">
        <f t="shared" si="12"/>
        <v>0</v>
      </c>
      <c r="H51" s="34">
        <f t="shared" si="14"/>
        <v>0</v>
      </c>
      <c r="I51" s="34"/>
      <c r="J51" s="30"/>
      <c r="K51" s="30"/>
      <c r="L51" s="30"/>
      <c r="M51" s="30"/>
      <c r="N51" s="30"/>
      <c r="O51" s="30"/>
      <c r="P51" s="30"/>
      <c r="Q51" s="30"/>
      <c r="R51" s="30"/>
      <c r="S51" s="33">
        <f t="shared" si="13"/>
        <v>0</v>
      </c>
    </row>
    <row r="52" spans="1:19" ht="13.2" x14ac:dyDescent="0.25">
      <c r="A52" s="59"/>
      <c r="B52" s="60"/>
      <c r="D52" s="32">
        <v>11</v>
      </c>
      <c r="E52" s="27">
        <f t="shared" si="10"/>
        <v>0.10792962373029483</v>
      </c>
      <c r="F52" s="28">
        <f t="shared" si="11"/>
        <v>0.3612238917071956</v>
      </c>
      <c r="G52" s="29">
        <f t="shared" si="12"/>
        <v>0</v>
      </c>
      <c r="H52" s="34">
        <f t="shared" si="14"/>
        <v>0</v>
      </c>
      <c r="I52" s="34"/>
      <c r="J52" s="30"/>
      <c r="K52" s="30"/>
      <c r="L52" s="30"/>
      <c r="M52" s="30"/>
      <c r="N52" s="30"/>
      <c r="O52" s="30"/>
      <c r="P52" s="30"/>
      <c r="Q52" s="30"/>
      <c r="R52" s="30"/>
      <c r="S52" s="33">
        <f t="shared" si="13"/>
        <v>0</v>
      </c>
    </row>
    <row r="53" spans="1:19" ht="13.2" x14ac:dyDescent="0.25">
      <c r="A53" s="53"/>
      <c r="B53" s="53"/>
      <c r="D53" s="32">
        <v>12</v>
      </c>
      <c r="E53" s="27">
        <f t="shared" si="10"/>
        <v>0.11774140770577618</v>
      </c>
      <c r="F53" s="28">
        <f t="shared" si="11"/>
        <v>0.39406242731694069</v>
      </c>
      <c r="G53" s="29">
        <f t="shared" si="12"/>
        <v>0</v>
      </c>
      <c r="H53" s="34">
        <f t="shared" si="14"/>
        <v>0</v>
      </c>
      <c r="I53" s="34"/>
      <c r="J53" s="37"/>
      <c r="K53" s="30"/>
      <c r="L53" s="30"/>
      <c r="M53" s="30"/>
      <c r="N53" s="30"/>
      <c r="O53" s="30"/>
      <c r="P53" s="30"/>
      <c r="Q53" s="30"/>
      <c r="R53" s="30"/>
      <c r="S53" s="33">
        <f t="shared" si="13"/>
        <v>0</v>
      </c>
    </row>
    <row r="54" spans="1:19" ht="13.2" x14ac:dyDescent="0.25">
      <c r="D54" s="32">
        <v>13</v>
      </c>
      <c r="E54" s="27">
        <f t="shared" si="10"/>
        <v>0.12755319168125753</v>
      </c>
      <c r="F54" s="28">
        <f t="shared" si="11"/>
        <v>0.42690096292668578</v>
      </c>
      <c r="G54" s="29">
        <f t="shared" si="12"/>
        <v>0</v>
      </c>
      <c r="H54" s="34">
        <f t="shared" si="14"/>
        <v>0</v>
      </c>
      <c r="I54" s="34"/>
      <c r="J54" s="37"/>
      <c r="K54" s="30"/>
      <c r="L54" s="30"/>
      <c r="M54" s="30"/>
      <c r="N54" s="30"/>
      <c r="O54" s="30"/>
      <c r="P54" s="30"/>
      <c r="Q54" s="30"/>
      <c r="R54" s="30"/>
      <c r="S54" s="33">
        <f t="shared" si="13"/>
        <v>0</v>
      </c>
    </row>
    <row r="55" spans="1:19" ht="13.2" x14ac:dyDescent="0.25">
      <c r="D55" s="32">
        <v>14</v>
      </c>
      <c r="E55" s="27">
        <f t="shared" si="10"/>
        <v>0.13736497565673886</v>
      </c>
      <c r="F55" s="28">
        <f t="shared" si="11"/>
        <v>0.45973949853643076</v>
      </c>
      <c r="G55" s="29">
        <f t="shared" si="12"/>
        <v>0</v>
      </c>
      <c r="H55" s="34">
        <f t="shared" si="14"/>
        <v>0</v>
      </c>
      <c r="I55" s="34"/>
      <c r="J55" s="37"/>
      <c r="K55" s="30"/>
      <c r="L55" s="30"/>
      <c r="M55" s="30"/>
      <c r="N55" s="30"/>
      <c r="O55" s="30"/>
      <c r="P55" s="30"/>
      <c r="Q55" s="30"/>
      <c r="R55" s="30"/>
      <c r="S55" s="33">
        <f t="shared" si="13"/>
        <v>0</v>
      </c>
    </row>
    <row r="56" spans="1:19" ht="13.2" x14ac:dyDescent="0.25">
      <c r="D56" s="32">
        <v>15</v>
      </c>
      <c r="E56" s="27">
        <f t="shared" si="10"/>
        <v>0.14717675963222021</v>
      </c>
      <c r="F56" s="28">
        <f t="shared" si="11"/>
        <v>0.49257803414617579</v>
      </c>
      <c r="G56" s="29">
        <f t="shared" si="12"/>
        <v>0</v>
      </c>
      <c r="H56" s="34">
        <f t="shared" si="14"/>
        <v>0</v>
      </c>
      <c r="I56" s="34"/>
      <c r="J56" s="37"/>
      <c r="K56" s="30"/>
      <c r="L56" s="30"/>
      <c r="M56" s="30"/>
      <c r="N56" s="30"/>
      <c r="O56" s="30"/>
      <c r="P56" s="30"/>
      <c r="Q56" s="30"/>
      <c r="R56" s="30"/>
      <c r="S56" s="33">
        <f t="shared" si="13"/>
        <v>0</v>
      </c>
    </row>
    <row r="57" spans="1:19" ht="13.2" x14ac:dyDescent="0.25">
      <c r="D57" s="32">
        <v>16</v>
      </c>
      <c r="E57" s="27">
        <f t="shared" si="10"/>
        <v>0.15698854360770156</v>
      </c>
      <c r="F57" s="28">
        <f t="shared" si="11"/>
        <v>0.52541656975592088</v>
      </c>
      <c r="G57" s="29">
        <f t="shared" si="12"/>
        <v>0</v>
      </c>
      <c r="H57" s="34">
        <f t="shared" si="14"/>
        <v>0</v>
      </c>
      <c r="I57" s="34">
        <f t="shared" ref="I57:I157" si="15">$S$8*F41</f>
        <v>0</v>
      </c>
      <c r="J57" s="37"/>
      <c r="K57" s="34"/>
      <c r="L57" s="30"/>
      <c r="M57" s="30"/>
      <c r="N57" s="30"/>
      <c r="O57" s="30"/>
      <c r="P57" s="30"/>
      <c r="Q57" s="30"/>
      <c r="R57" s="30"/>
      <c r="S57" s="33">
        <f t="shared" si="13"/>
        <v>0</v>
      </c>
    </row>
    <row r="58" spans="1:19" ht="13.2" x14ac:dyDescent="0.25">
      <c r="D58" s="32">
        <v>17</v>
      </c>
      <c r="E58" s="27">
        <f t="shared" si="10"/>
        <v>0.16680032758318292</v>
      </c>
      <c r="F58" s="28">
        <f t="shared" si="11"/>
        <v>0.55825510536566592</v>
      </c>
      <c r="G58" s="29">
        <f t="shared" si="12"/>
        <v>0</v>
      </c>
      <c r="H58" s="34">
        <f t="shared" si="14"/>
        <v>0</v>
      </c>
      <c r="I58" s="34">
        <f t="shared" si="15"/>
        <v>0</v>
      </c>
      <c r="J58" s="37"/>
      <c r="K58" s="34"/>
      <c r="L58" s="30"/>
      <c r="M58" s="30"/>
      <c r="N58" s="30"/>
      <c r="O58" s="30"/>
      <c r="P58" s="30"/>
      <c r="Q58" s="30"/>
      <c r="R58" s="30"/>
      <c r="S58" s="33">
        <f t="shared" si="13"/>
        <v>0</v>
      </c>
    </row>
    <row r="59" spans="1:19" ht="13.2" x14ac:dyDescent="0.25">
      <c r="D59" s="32">
        <v>18</v>
      </c>
      <c r="E59" s="27">
        <f t="shared" si="10"/>
        <v>0.17661211155866427</v>
      </c>
      <c r="F59" s="28">
        <f t="shared" si="11"/>
        <v>0.59109364097541106</v>
      </c>
      <c r="G59" s="29">
        <f t="shared" si="12"/>
        <v>0</v>
      </c>
      <c r="H59" s="34">
        <f t="shared" si="14"/>
        <v>0</v>
      </c>
      <c r="I59" s="34">
        <f t="shared" si="15"/>
        <v>0</v>
      </c>
      <c r="J59" s="37"/>
      <c r="K59" s="34"/>
      <c r="L59" s="30"/>
      <c r="M59" s="30"/>
      <c r="N59" s="30"/>
      <c r="O59" s="30"/>
      <c r="P59" s="30"/>
      <c r="Q59" s="30"/>
      <c r="R59" s="30"/>
      <c r="S59" s="33">
        <f t="shared" si="13"/>
        <v>0</v>
      </c>
    </row>
    <row r="60" spans="1:19" ht="13.2" x14ac:dyDescent="0.25">
      <c r="D60" s="32">
        <v>19</v>
      </c>
      <c r="E60" s="27">
        <f t="shared" si="10"/>
        <v>0.18642389553414559</v>
      </c>
      <c r="F60" s="28">
        <f t="shared" si="11"/>
        <v>0.62393217658515598</v>
      </c>
      <c r="G60" s="29">
        <f t="shared" si="12"/>
        <v>0</v>
      </c>
      <c r="H60" s="34">
        <f t="shared" si="14"/>
        <v>0</v>
      </c>
      <c r="I60" s="34">
        <f t="shared" si="15"/>
        <v>0</v>
      </c>
      <c r="J60" s="37"/>
      <c r="K60" s="34"/>
      <c r="L60" s="30"/>
      <c r="M60" s="30"/>
      <c r="N60" s="30"/>
      <c r="O60" s="30"/>
      <c r="P60" s="30"/>
      <c r="Q60" s="30"/>
      <c r="R60" s="30"/>
      <c r="S60" s="33">
        <f t="shared" si="13"/>
        <v>0</v>
      </c>
    </row>
    <row r="61" spans="1:19" ht="13.2" x14ac:dyDescent="0.25">
      <c r="D61" s="32">
        <v>20</v>
      </c>
      <c r="E61" s="27">
        <f t="shared" si="10"/>
        <v>0.19623567950962695</v>
      </c>
      <c r="F61" s="28">
        <f t="shared" si="11"/>
        <v>0.65677071219490113</v>
      </c>
      <c r="G61" s="29">
        <f t="shared" si="12"/>
        <v>0</v>
      </c>
      <c r="H61" s="34">
        <f t="shared" si="14"/>
        <v>0</v>
      </c>
      <c r="I61" s="34">
        <f t="shared" si="15"/>
        <v>0</v>
      </c>
      <c r="J61" s="37"/>
      <c r="K61" s="34"/>
      <c r="L61" s="37"/>
      <c r="M61" s="30"/>
      <c r="N61" s="30"/>
      <c r="O61" s="30"/>
      <c r="P61" s="30"/>
      <c r="Q61" s="30"/>
      <c r="R61" s="30"/>
      <c r="S61" s="33">
        <f t="shared" si="13"/>
        <v>0</v>
      </c>
    </row>
    <row r="62" spans="1:19" ht="13.2" x14ac:dyDescent="0.25">
      <c r="D62" s="32">
        <v>21</v>
      </c>
      <c r="E62" s="27">
        <f t="shared" si="10"/>
        <v>0.2060474634851083</v>
      </c>
      <c r="F62" s="28">
        <f t="shared" si="11"/>
        <v>0.68960924780464616</v>
      </c>
      <c r="G62" s="29">
        <f t="shared" si="12"/>
        <v>0</v>
      </c>
      <c r="H62" s="34">
        <f t="shared" si="14"/>
        <v>0</v>
      </c>
      <c r="I62" s="34">
        <f t="shared" si="15"/>
        <v>0</v>
      </c>
      <c r="J62" s="37"/>
      <c r="K62" s="34"/>
      <c r="L62" s="37"/>
      <c r="M62" s="30"/>
      <c r="N62" s="30"/>
      <c r="O62" s="30"/>
      <c r="P62" s="30"/>
      <c r="Q62" s="30"/>
      <c r="R62" s="30"/>
      <c r="S62" s="33">
        <f t="shared" si="13"/>
        <v>0</v>
      </c>
    </row>
    <row r="63" spans="1:19" ht="13.2" x14ac:dyDescent="0.25">
      <c r="D63" s="32">
        <v>22</v>
      </c>
      <c r="E63" s="27">
        <f t="shared" si="10"/>
        <v>0.21585924746058965</v>
      </c>
      <c r="F63" s="28">
        <f t="shared" si="11"/>
        <v>0.7224477834143912</v>
      </c>
      <c r="G63" s="29">
        <f t="shared" si="12"/>
        <v>0</v>
      </c>
      <c r="H63" s="34">
        <f t="shared" si="14"/>
        <v>0</v>
      </c>
      <c r="I63" s="34">
        <f t="shared" si="15"/>
        <v>0</v>
      </c>
      <c r="J63" s="37"/>
      <c r="K63" s="34"/>
      <c r="L63" s="37"/>
      <c r="M63" s="30"/>
      <c r="N63" s="30"/>
      <c r="O63" s="30"/>
      <c r="P63" s="30"/>
      <c r="Q63" s="30"/>
      <c r="R63" s="30"/>
      <c r="S63" s="33">
        <f t="shared" si="13"/>
        <v>0</v>
      </c>
    </row>
    <row r="64" spans="1:19" ht="13.2" x14ac:dyDescent="0.25">
      <c r="D64" s="32">
        <v>23</v>
      </c>
      <c r="E64" s="27">
        <f t="shared" si="10"/>
        <v>0.22567103143607101</v>
      </c>
      <c r="F64" s="28">
        <f t="shared" si="11"/>
        <v>0.75528631902413634</v>
      </c>
      <c r="G64" s="29">
        <f t="shared" si="12"/>
        <v>0</v>
      </c>
      <c r="H64" s="34">
        <f t="shared" si="14"/>
        <v>0</v>
      </c>
      <c r="I64" s="34">
        <f t="shared" si="15"/>
        <v>0</v>
      </c>
      <c r="J64" s="37"/>
      <c r="K64" s="34"/>
      <c r="L64" s="37"/>
      <c r="M64" s="30"/>
      <c r="N64" s="30"/>
      <c r="O64" s="30"/>
      <c r="P64" s="30"/>
      <c r="Q64" s="30"/>
      <c r="R64" s="30"/>
      <c r="S64" s="33">
        <f t="shared" si="13"/>
        <v>0</v>
      </c>
    </row>
    <row r="65" spans="4:19" ht="13.2" x14ac:dyDescent="0.25">
      <c r="D65" s="32">
        <v>24</v>
      </c>
      <c r="E65" s="27">
        <f t="shared" si="10"/>
        <v>0.23548281541155236</v>
      </c>
      <c r="F65" s="28">
        <f t="shared" si="11"/>
        <v>0.78812485463388138</v>
      </c>
      <c r="G65" s="29">
        <f t="shared" si="12"/>
        <v>0</v>
      </c>
      <c r="H65" s="34">
        <f t="shared" si="14"/>
        <v>0</v>
      </c>
      <c r="I65" s="34">
        <f t="shared" si="15"/>
        <v>0</v>
      </c>
      <c r="J65" s="37">
        <f t="shared" ref="J65:J165" si="16">F41*$S$9</f>
        <v>0</v>
      </c>
      <c r="K65" s="34"/>
      <c r="L65" s="37"/>
      <c r="M65" s="34"/>
      <c r="N65" s="30"/>
      <c r="O65" s="30"/>
      <c r="P65" s="30"/>
      <c r="Q65" s="30"/>
      <c r="R65" s="30"/>
      <c r="S65" s="33">
        <f t="shared" si="13"/>
        <v>0</v>
      </c>
    </row>
    <row r="66" spans="4:19" ht="13.2" x14ac:dyDescent="0.25">
      <c r="D66" s="32">
        <v>25</v>
      </c>
      <c r="E66" s="27">
        <f t="shared" si="10"/>
        <v>0.24529459938703368</v>
      </c>
      <c r="F66" s="28">
        <f t="shared" si="11"/>
        <v>0.8209633902436263</v>
      </c>
      <c r="G66" s="29">
        <f t="shared" si="12"/>
        <v>0</v>
      </c>
      <c r="H66" s="34">
        <f t="shared" si="14"/>
        <v>0</v>
      </c>
      <c r="I66" s="34">
        <f t="shared" si="15"/>
        <v>0</v>
      </c>
      <c r="J66" s="37">
        <f t="shared" si="16"/>
        <v>0</v>
      </c>
      <c r="K66" s="34"/>
      <c r="L66" s="37"/>
      <c r="M66" s="34"/>
      <c r="N66" s="30"/>
      <c r="O66" s="30"/>
      <c r="P66" s="30"/>
      <c r="Q66" s="30"/>
      <c r="R66" s="30"/>
      <c r="S66" s="33">
        <f t="shared" si="13"/>
        <v>0</v>
      </c>
    </row>
    <row r="67" spans="4:19" ht="13.2" x14ac:dyDescent="0.25">
      <c r="D67" s="32">
        <v>26</v>
      </c>
      <c r="E67" s="27">
        <f t="shared" si="10"/>
        <v>0.25510638336251507</v>
      </c>
      <c r="F67" s="28">
        <f t="shared" si="11"/>
        <v>0.85380192585337156</v>
      </c>
      <c r="G67" s="29">
        <f t="shared" si="12"/>
        <v>0</v>
      </c>
      <c r="H67" s="34">
        <f t="shared" si="14"/>
        <v>0</v>
      </c>
      <c r="I67" s="34">
        <f t="shared" si="15"/>
        <v>0</v>
      </c>
      <c r="J67" s="37">
        <f t="shared" si="16"/>
        <v>0</v>
      </c>
      <c r="K67" s="34"/>
      <c r="L67" s="37"/>
      <c r="M67" s="34"/>
      <c r="N67" s="30"/>
      <c r="O67" s="30"/>
      <c r="P67" s="30"/>
      <c r="Q67" s="30"/>
      <c r="R67" s="30"/>
      <c r="S67" s="33">
        <f t="shared" si="13"/>
        <v>0</v>
      </c>
    </row>
    <row r="68" spans="4:19" ht="13.2" x14ac:dyDescent="0.25">
      <c r="D68" s="32">
        <v>27</v>
      </c>
      <c r="E68" s="27">
        <f t="shared" si="10"/>
        <v>0.26491816733799639</v>
      </c>
      <c r="F68" s="28">
        <f t="shared" si="11"/>
        <v>0.88664046146311648</v>
      </c>
      <c r="G68" s="29">
        <f t="shared" si="12"/>
        <v>0</v>
      </c>
      <c r="H68" s="34">
        <f t="shared" si="14"/>
        <v>0</v>
      </c>
      <c r="I68" s="34">
        <f t="shared" si="15"/>
        <v>0</v>
      </c>
      <c r="J68" s="37">
        <f t="shared" si="16"/>
        <v>0</v>
      </c>
      <c r="K68" s="34"/>
      <c r="L68" s="37"/>
      <c r="M68" s="34"/>
      <c r="N68" s="30"/>
      <c r="O68" s="30"/>
      <c r="P68" s="30"/>
      <c r="Q68" s="30"/>
      <c r="R68" s="30"/>
      <c r="S68" s="33">
        <f t="shared" si="13"/>
        <v>0</v>
      </c>
    </row>
    <row r="69" spans="4:19" ht="13.2" x14ac:dyDescent="0.25">
      <c r="D69" s="32">
        <v>28</v>
      </c>
      <c r="E69" s="27">
        <f t="shared" si="10"/>
        <v>0.27472995131347772</v>
      </c>
      <c r="F69" s="28">
        <f t="shared" si="11"/>
        <v>0.91947899707286151</v>
      </c>
      <c r="G69" s="29">
        <f t="shared" si="12"/>
        <v>0</v>
      </c>
      <c r="H69" s="34">
        <f t="shared" si="14"/>
        <v>0</v>
      </c>
      <c r="I69" s="34">
        <f t="shared" si="15"/>
        <v>0</v>
      </c>
      <c r="J69" s="37">
        <f t="shared" si="16"/>
        <v>0</v>
      </c>
      <c r="K69" s="34"/>
      <c r="L69" s="37"/>
      <c r="M69" s="34"/>
      <c r="N69" s="37"/>
      <c r="O69" s="30"/>
      <c r="P69" s="30"/>
      <c r="Q69" s="30"/>
      <c r="R69" s="30"/>
      <c r="S69" s="33">
        <f t="shared" si="13"/>
        <v>0</v>
      </c>
    </row>
    <row r="70" spans="4:19" ht="13.2" x14ac:dyDescent="0.25">
      <c r="D70" s="32">
        <v>29</v>
      </c>
      <c r="E70" s="27">
        <f t="shared" si="10"/>
        <v>0.2845417352889591</v>
      </c>
      <c r="F70" s="28">
        <f t="shared" si="11"/>
        <v>0.95231753268260666</v>
      </c>
      <c r="G70" s="29">
        <f t="shared" si="12"/>
        <v>0</v>
      </c>
      <c r="H70" s="34">
        <f t="shared" si="14"/>
        <v>0</v>
      </c>
      <c r="I70" s="34">
        <f t="shared" si="15"/>
        <v>0</v>
      </c>
      <c r="J70" s="37">
        <f t="shared" si="16"/>
        <v>0</v>
      </c>
      <c r="K70" s="34"/>
      <c r="L70" s="37"/>
      <c r="M70" s="34"/>
      <c r="N70" s="37"/>
      <c r="O70" s="30"/>
      <c r="P70" s="30"/>
      <c r="Q70" s="30"/>
      <c r="R70" s="30"/>
      <c r="S70" s="33">
        <f t="shared" si="13"/>
        <v>0</v>
      </c>
    </row>
    <row r="71" spans="4:19" ht="13.2" x14ac:dyDescent="0.25">
      <c r="D71" s="32">
        <v>30</v>
      </c>
      <c r="E71" s="27">
        <f t="shared" si="10"/>
        <v>0.29435351926444042</v>
      </c>
      <c r="F71" s="28">
        <f t="shared" si="11"/>
        <v>0.98515606829235158</v>
      </c>
      <c r="G71" s="29">
        <f t="shared" si="12"/>
        <v>0</v>
      </c>
      <c r="H71" s="34">
        <f t="shared" si="14"/>
        <v>0</v>
      </c>
      <c r="I71" s="34">
        <f t="shared" si="15"/>
        <v>0</v>
      </c>
      <c r="J71" s="37">
        <f t="shared" si="16"/>
        <v>0</v>
      </c>
      <c r="K71" s="34"/>
      <c r="L71" s="37"/>
      <c r="M71" s="34"/>
      <c r="N71" s="37"/>
      <c r="O71" s="30"/>
      <c r="P71" s="30"/>
      <c r="Q71" s="30"/>
      <c r="R71" s="30"/>
      <c r="S71" s="33">
        <f t="shared" si="13"/>
        <v>0</v>
      </c>
    </row>
    <row r="72" spans="4:19" ht="13.2" x14ac:dyDescent="0.25">
      <c r="D72" s="32">
        <v>31</v>
      </c>
      <c r="E72" s="27">
        <f t="shared" si="10"/>
        <v>0.3041653032399218</v>
      </c>
      <c r="F72" s="28">
        <f t="shared" si="11"/>
        <v>1.0179946039020968</v>
      </c>
      <c r="G72" s="29">
        <f t="shared" si="12"/>
        <v>0</v>
      </c>
      <c r="H72" s="34">
        <f t="shared" si="14"/>
        <v>0</v>
      </c>
      <c r="I72" s="34">
        <f t="shared" si="15"/>
        <v>0</v>
      </c>
      <c r="J72" s="37">
        <f t="shared" si="16"/>
        <v>0</v>
      </c>
      <c r="K72" s="34"/>
      <c r="L72" s="37"/>
      <c r="M72" s="34"/>
      <c r="N72" s="37"/>
      <c r="O72" s="30"/>
      <c r="P72" s="30"/>
      <c r="Q72" s="30"/>
      <c r="R72" s="30"/>
      <c r="S72" s="33">
        <f t="shared" si="13"/>
        <v>0</v>
      </c>
    </row>
    <row r="73" spans="4:19" ht="13.2" x14ac:dyDescent="0.25">
      <c r="D73" s="32">
        <v>32</v>
      </c>
      <c r="E73" s="27">
        <f t="shared" si="10"/>
        <v>0.31397708721540313</v>
      </c>
      <c r="F73" s="28">
        <f t="shared" si="11"/>
        <v>1.0508331395118418</v>
      </c>
      <c r="G73" s="29">
        <f t="shared" si="12"/>
        <v>0</v>
      </c>
      <c r="H73" s="34">
        <f t="shared" si="14"/>
        <v>0</v>
      </c>
      <c r="I73" s="34">
        <f t="shared" si="15"/>
        <v>0</v>
      </c>
      <c r="J73" s="37">
        <f t="shared" si="16"/>
        <v>0</v>
      </c>
      <c r="K73" s="34">
        <f t="shared" ref="K73:K173" si="17">$S$10*F41</f>
        <v>0</v>
      </c>
      <c r="L73" s="37"/>
      <c r="M73" s="34"/>
      <c r="N73" s="37"/>
      <c r="O73" s="37"/>
      <c r="P73" s="30"/>
      <c r="Q73" s="30"/>
      <c r="R73" s="30"/>
      <c r="S73" s="33">
        <f t="shared" si="13"/>
        <v>0</v>
      </c>
    </row>
    <row r="74" spans="4:19" ht="13.2" x14ac:dyDescent="0.25">
      <c r="D74" s="32">
        <v>33</v>
      </c>
      <c r="E74" s="27">
        <f t="shared" si="10"/>
        <v>0.32378887119088445</v>
      </c>
      <c r="F74" s="28">
        <f t="shared" si="11"/>
        <v>1.0836716751215867</v>
      </c>
      <c r="G74" s="29">
        <f t="shared" si="12"/>
        <v>0</v>
      </c>
      <c r="H74" s="34">
        <f t="shared" si="14"/>
        <v>0</v>
      </c>
      <c r="I74" s="34">
        <f t="shared" si="15"/>
        <v>0</v>
      </c>
      <c r="J74" s="37">
        <f t="shared" si="16"/>
        <v>0</v>
      </c>
      <c r="K74" s="34">
        <f t="shared" si="17"/>
        <v>5.804720282681727E-4</v>
      </c>
      <c r="L74" s="37"/>
      <c r="M74" s="34"/>
      <c r="N74" s="37"/>
      <c r="O74" s="37"/>
      <c r="P74" s="30"/>
      <c r="Q74" s="30"/>
      <c r="R74" s="30"/>
      <c r="S74" s="33">
        <f t="shared" si="13"/>
        <v>5.804720282681727E-4</v>
      </c>
    </row>
    <row r="75" spans="4:19" ht="13.2" x14ac:dyDescent="0.25">
      <c r="D75" s="32">
        <v>34</v>
      </c>
      <c r="E75" s="27">
        <f t="shared" si="10"/>
        <v>0.33360065516636583</v>
      </c>
      <c r="F75" s="28">
        <f t="shared" si="11"/>
        <v>1.1165102107313318</v>
      </c>
      <c r="G75" s="29">
        <f t="shared" si="12"/>
        <v>0</v>
      </c>
      <c r="H75" s="34">
        <f t="shared" si="14"/>
        <v>0</v>
      </c>
      <c r="I75" s="34">
        <f t="shared" si="15"/>
        <v>0</v>
      </c>
      <c r="J75" s="37">
        <f t="shared" si="16"/>
        <v>0</v>
      </c>
      <c r="K75" s="34">
        <f t="shared" si="17"/>
        <v>1.1609440565363454E-3</v>
      </c>
      <c r="L75" s="37"/>
      <c r="M75" s="34"/>
      <c r="N75" s="37"/>
      <c r="O75" s="37"/>
      <c r="P75" s="30"/>
      <c r="Q75" s="30"/>
      <c r="R75" s="30"/>
      <c r="S75" s="33">
        <f t="shared" si="13"/>
        <v>1.1609440565363454E-3</v>
      </c>
    </row>
    <row r="76" spans="4:19" ht="13.2" x14ac:dyDescent="0.25">
      <c r="D76" s="32">
        <v>35</v>
      </c>
      <c r="E76" s="27">
        <f t="shared" si="10"/>
        <v>0.34341243914184716</v>
      </c>
      <c r="F76" s="28">
        <f t="shared" si="11"/>
        <v>1.149348746341077</v>
      </c>
      <c r="G76" s="29">
        <f t="shared" si="12"/>
        <v>0</v>
      </c>
      <c r="H76" s="34">
        <f t="shared" si="14"/>
        <v>0</v>
      </c>
      <c r="I76" s="34">
        <f t="shared" si="15"/>
        <v>0</v>
      </c>
      <c r="J76" s="37">
        <f t="shared" si="16"/>
        <v>0</v>
      </c>
      <c r="K76" s="34">
        <f t="shared" si="17"/>
        <v>1.7414160848045182E-3</v>
      </c>
      <c r="L76" s="37"/>
      <c r="M76" s="34"/>
      <c r="N76" s="37"/>
      <c r="O76" s="37"/>
      <c r="P76" s="30"/>
      <c r="Q76" s="30"/>
      <c r="R76" s="30"/>
      <c r="S76" s="33">
        <f t="shared" si="13"/>
        <v>1.7414160848045182E-3</v>
      </c>
    </row>
    <row r="77" spans="4:19" ht="13.2" x14ac:dyDescent="0.25">
      <c r="D77" s="32">
        <v>36</v>
      </c>
      <c r="E77" s="27">
        <f t="shared" si="10"/>
        <v>0.35322422311732854</v>
      </c>
      <c r="F77" s="28">
        <f t="shared" si="11"/>
        <v>1.1821872819508221</v>
      </c>
      <c r="G77" s="29">
        <f t="shared" si="12"/>
        <v>0</v>
      </c>
      <c r="H77" s="34">
        <f t="shared" si="14"/>
        <v>0</v>
      </c>
      <c r="I77" s="34">
        <f t="shared" si="15"/>
        <v>0</v>
      </c>
      <c r="J77" s="37">
        <f t="shared" si="16"/>
        <v>0</v>
      </c>
      <c r="K77" s="34">
        <f t="shared" si="17"/>
        <v>2.3218881130726908E-3</v>
      </c>
      <c r="L77" s="37"/>
      <c r="M77" s="34"/>
      <c r="N77" s="37"/>
      <c r="O77" s="37"/>
      <c r="P77" s="34"/>
      <c r="Q77" s="30"/>
      <c r="R77" s="30"/>
      <c r="S77" s="33">
        <f t="shared" si="13"/>
        <v>2.3218881130726908E-3</v>
      </c>
    </row>
    <row r="78" spans="4:19" ht="13.2" x14ac:dyDescent="0.25">
      <c r="D78" s="32">
        <v>37</v>
      </c>
      <c r="E78" s="27">
        <f t="shared" si="10"/>
        <v>0.36303600709280986</v>
      </c>
      <c r="F78" s="28">
        <f t="shared" si="11"/>
        <v>1.215025817560567</v>
      </c>
      <c r="G78" s="29">
        <f t="shared" si="12"/>
        <v>0</v>
      </c>
      <c r="H78" s="34">
        <f t="shared" si="14"/>
        <v>0</v>
      </c>
      <c r="I78" s="34">
        <f t="shared" si="15"/>
        <v>0</v>
      </c>
      <c r="J78" s="37">
        <f t="shared" si="16"/>
        <v>0</v>
      </c>
      <c r="K78" s="34">
        <f t="shared" si="17"/>
        <v>2.9023601413408636E-3</v>
      </c>
      <c r="L78" s="37"/>
      <c r="M78" s="34"/>
      <c r="N78" s="37"/>
      <c r="O78" s="37"/>
      <c r="P78" s="34"/>
      <c r="Q78" s="30"/>
      <c r="R78" s="30"/>
      <c r="S78" s="33">
        <f t="shared" si="13"/>
        <v>2.9023601413408636E-3</v>
      </c>
    </row>
    <row r="79" spans="4:19" ht="13.2" x14ac:dyDescent="0.25">
      <c r="D79" s="32">
        <v>38</v>
      </c>
      <c r="E79" s="27">
        <f t="shared" si="10"/>
        <v>0.37284779106829119</v>
      </c>
      <c r="F79" s="28">
        <f t="shared" si="11"/>
        <v>1.2268634214150977</v>
      </c>
      <c r="G79" s="29">
        <f t="shared" si="12"/>
        <v>0</v>
      </c>
      <c r="H79" s="34">
        <f t="shared" si="14"/>
        <v>0</v>
      </c>
      <c r="I79" s="34">
        <f t="shared" si="15"/>
        <v>0</v>
      </c>
      <c r="J79" s="37">
        <f t="shared" si="16"/>
        <v>0</v>
      </c>
      <c r="K79" s="34">
        <f t="shared" si="17"/>
        <v>3.4828321696090364E-3</v>
      </c>
      <c r="L79" s="37"/>
      <c r="M79" s="34"/>
      <c r="N79" s="37"/>
      <c r="O79" s="37"/>
      <c r="P79" s="34"/>
      <c r="Q79" s="30"/>
      <c r="R79" s="30"/>
      <c r="S79" s="33">
        <f t="shared" si="13"/>
        <v>3.4828321696090364E-3</v>
      </c>
    </row>
    <row r="80" spans="4:19" ht="13.2" x14ac:dyDescent="0.25">
      <c r="D80" s="32">
        <v>39</v>
      </c>
      <c r="E80" s="27">
        <f t="shared" si="10"/>
        <v>0.38265957504377257</v>
      </c>
      <c r="F80" s="28">
        <f t="shared" si="11"/>
        <v>1.2071996276368071</v>
      </c>
      <c r="G80" s="29">
        <f t="shared" si="12"/>
        <v>0</v>
      </c>
      <c r="H80" s="34">
        <f t="shared" si="14"/>
        <v>0</v>
      </c>
      <c r="I80" s="34">
        <f t="shared" si="15"/>
        <v>0</v>
      </c>
      <c r="J80" s="37">
        <f t="shared" si="16"/>
        <v>0</v>
      </c>
      <c r="K80" s="34">
        <f t="shared" si="17"/>
        <v>4.0633041978772088E-3</v>
      </c>
      <c r="L80" s="37"/>
      <c r="M80" s="34"/>
      <c r="N80" s="37"/>
      <c r="O80" s="37"/>
      <c r="P80" s="34"/>
      <c r="Q80" s="30"/>
      <c r="R80" s="30"/>
      <c r="S80" s="33">
        <f t="shared" si="13"/>
        <v>4.0633041978772088E-3</v>
      </c>
    </row>
    <row r="81" spans="4:19" ht="13.2" x14ac:dyDescent="0.25">
      <c r="D81" s="32">
        <v>40</v>
      </c>
      <c r="E81" s="27">
        <f t="shared" si="10"/>
        <v>0.3924713590192539</v>
      </c>
      <c r="F81" s="28">
        <f t="shared" si="11"/>
        <v>1.1875358338585169</v>
      </c>
      <c r="G81" s="29">
        <f t="shared" si="12"/>
        <v>0</v>
      </c>
      <c r="H81" s="34">
        <f t="shared" si="14"/>
        <v>0</v>
      </c>
      <c r="I81" s="34">
        <f t="shared" si="15"/>
        <v>0</v>
      </c>
      <c r="J81" s="37">
        <f t="shared" si="16"/>
        <v>0</v>
      </c>
      <c r="K81" s="34">
        <f t="shared" si="17"/>
        <v>4.6437762261453816E-3</v>
      </c>
      <c r="L81" s="37">
        <f t="shared" ref="L81:L181" si="18">F41*$S$11</f>
        <v>0</v>
      </c>
      <c r="M81" s="34"/>
      <c r="N81" s="37"/>
      <c r="O81" s="37"/>
      <c r="P81" s="34"/>
      <c r="Q81" s="37"/>
      <c r="R81" s="30"/>
      <c r="S81" s="33">
        <f t="shared" si="13"/>
        <v>4.6437762261453816E-3</v>
      </c>
    </row>
    <row r="82" spans="4:19" ht="13.2" x14ac:dyDescent="0.25">
      <c r="D82" s="32">
        <v>41</v>
      </c>
      <c r="E82" s="27">
        <f t="shared" si="10"/>
        <v>0.40228314299473528</v>
      </c>
      <c r="F82" s="28">
        <f t="shared" si="11"/>
        <v>1.1678720400802263</v>
      </c>
      <c r="G82" s="29">
        <f t="shared" si="12"/>
        <v>0</v>
      </c>
      <c r="H82" s="34">
        <f t="shared" si="14"/>
        <v>0</v>
      </c>
      <c r="I82" s="34">
        <f t="shared" si="15"/>
        <v>0</v>
      </c>
      <c r="J82" s="37">
        <f t="shared" si="16"/>
        <v>0</v>
      </c>
      <c r="K82" s="34">
        <f t="shared" si="17"/>
        <v>5.2242482544135552E-3</v>
      </c>
      <c r="L82" s="37">
        <f t="shared" si="18"/>
        <v>3.0282591178782198E-2</v>
      </c>
      <c r="M82" s="34"/>
      <c r="N82" s="37"/>
      <c r="O82" s="37"/>
      <c r="P82" s="34"/>
      <c r="Q82" s="37"/>
      <c r="R82" s="30"/>
      <c r="S82" s="33">
        <f t="shared" si="13"/>
        <v>3.5506839433195755E-2</v>
      </c>
    </row>
    <row r="83" spans="4:19" ht="13.2" x14ac:dyDescent="0.25">
      <c r="D83" s="32">
        <v>42</v>
      </c>
      <c r="E83" s="27">
        <f t="shared" si="10"/>
        <v>0.4120949269702166</v>
      </c>
      <c r="F83" s="28">
        <f t="shared" si="11"/>
        <v>1.1482082463019359</v>
      </c>
      <c r="G83" s="29">
        <f t="shared" si="12"/>
        <v>0</v>
      </c>
      <c r="H83" s="34">
        <f t="shared" si="14"/>
        <v>0</v>
      </c>
      <c r="I83" s="34">
        <f t="shared" si="15"/>
        <v>0</v>
      </c>
      <c r="J83" s="37">
        <f t="shared" si="16"/>
        <v>0</v>
      </c>
      <c r="K83" s="34">
        <f t="shared" si="17"/>
        <v>5.8047202826817272E-3</v>
      </c>
      <c r="L83" s="37">
        <f t="shared" si="18"/>
        <v>6.0565182357564397E-2</v>
      </c>
      <c r="M83" s="34"/>
      <c r="N83" s="37"/>
      <c r="O83" s="37"/>
      <c r="P83" s="34"/>
      <c r="Q83" s="37"/>
      <c r="R83" s="30"/>
      <c r="S83" s="33">
        <f t="shared" si="13"/>
        <v>6.6369902640246128E-2</v>
      </c>
    </row>
    <row r="84" spans="4:19" ht="13.2" x14ac:dyDescent="0.25">
      <c r="D84" s="32">
        <v>43</v>
      </c>
      <c r="E84" s="27">
        <f t="shared" si="10"/>
        <v>0.42190671094569793</v>
      </c>
      <c r="F84" s="28">
        <f t="shared" si="11"/>
        <v>1.1285444525236454</v>
      </c>
      <c r="G84" s="29">
        <f t="shared" si="12"/>
        <v>0</v>
      </c>
      <c r="H84" s="34">
        <f t="shared" si="14"/>
        <v>0</v>
      </c>
      <c r="I84" s="34">
        <f t="shared" si="15"/>
        <v>0</v>
      </c>
      <c r="J84" s="37">
        <f t="shared" si="16"/>
        <v>0</v>
      </c>
      <c r="K84" s="34">
        <f t="shared" si="17"/>
        <v>6.3851923109499E-3</v>
      </c>
      <c r="L84" s="37">
        <f t="shared" si="18"/>
        <v>9.0847773536346599E-2</v>
      </c>
      <c r="M84" s="34"/>
      <c r="N84" s="37"/>
      <c r="O84" s="37"/>
      <c r="P84" s="34"/>
      <c r="Q84" s="37"/>
      <c r="R84" s="30"/>
      <c r="S84" s="33">
        <f t="shared" si="13"/>
        <v>9.7232965847296501E-2</v>
      </c>
    </row>
    <row r="85" spans="4:19" ht="13.2" x14ac:dyDescent="0.25">
      <c r="D85" s="32">
        <v>44</v>
      </c>
      <c r="E85" s="27">
        <f t="shared" si="10"/>
        <v>0.43171849492117931</v>
      </c>
      <c r="F85" s="28">
        <f t="shared" si="11"/>
        <v>1.1088806587453548</v>
      </c>
      <c r="G85" s="29">
        <f t="shared" si="12"/>
        <v>0</v>
      </c>
      <c r="H85" s="34">
        <f t="shared" si="14"/>
        <v>0</v>
      </c>
      <c r="I85" s="34">
        <f t="shared" si="15"/>
        <v>0</v>
      </c>
      <c r="J85" s="37">
        <f t="shared" si="16"/>
        <v>0</v>
      </c>
      <c r="K85" s="34">
        <f t="shared" si="17"/>
        <v>6.9656643392180728E-3</v>
      </c>
      <c r="L85" s="37">
        <f t="shared" si="18"/>
        <v>0.12113036471512879</v>
      </c>
      <c r="M85" s="34"/>
      <c r="N85" s="37"/>
      <c r="O85" s="37"/>
      <c r="P85" s="34"/>
      <c r="Q85" s="37"/>
      <c r="R85" s="37"/>
      <c r="S85" s="33">
        <f t="shared" si="13"/>
        <v>0.12809602905434686</v>
      </c>
    </row>
    <row r="86" spans="4:19" ht="13.2" x14ac:dyDescent="0.25">
      <c r="D86" s="32">
        <v>45</v>
      </c>
      <c r="E86" s="27">
        <f t="shared" si="10"/>
        <v>0.44153027889666063</v>
      </c>
      <c r="F86" s="28">
        <f t="shared" si="11"/>
        <v>1.0892168649670646</v>
      </c>
      <c r="G86" s="29">
        <f t="shared" si="12"/>
        <v>0</v>
      </c>
      <c r="H86" s="34">
        <f t="shared" si="14"/>
        <v>0</v>
      </c>
      <c r="I86" s="34">
        <f t="shared" si="15"/>
        <v>0</v>
      </c>
      <c r="J86" s="37">
        <f t="shared" si="16"/>
        <v>0</v>
      </c>
      <c r="K86" s="34">
        <f t="shared" si="17"/>
        <v>7.5461363674862465E-3</v>
      </c>
      <c r="L86" s="37">
        <f t="shared" si="18"/>
        <v>0.15141295589391102</v>
      </c>
      <c r="M86" s="34"/>
      <c r="N86" s="37"/>
      <c r="O86" s="37"/>
      <c r="P86" s="34"/>
      <c r="Q86" s="37"/>
      <c r="R86" s="37"/>
      <c r="S86" s="33">
        <f t="shared" si="13"/>
        <v>0.15895909226139726</v>
      </c>
    </row>
    <row r="87" spans="4:19" ht="13.2" x14ac:dyDescent="0.25">
      <c r="D87" s="32">
        <v>46</v>
      </c>
      <c r="E87" s="27">
        <f t="shared" si="10"/>
        <v>0.45134206287214201</v>
      </c>
      <c r="F87" s="28">
        <f t="shared" si="11"/>
        <v>1.069553071188774</v>
      </c>
      <c r="G87" s="29">
        <f t="shared" si="12"/>
        <v>0</v>
      </c>
      <c r="H87" s="34">
        <f t="shared" si="14"/>
        <v>0</v>
      </c>
      <c r="I87" s="34">
        <f t="shared" si="15"/>
        <v>0</v>
      </c>
      <c r="J87" s="37">
        <f t="shared" si="16"/>
        <v>0</v>
      </c>
      <c r="K87" s="34">
        <f t="shared" si="17"/>
        <v>8.1266083957544175E-3</v>
      </c>
      <c r="L87" s="37">
        <f t="shared" si="18"/>
        <v>0.1816955470726932</v>
      </c>
      <c r="M87" s="34"/>
      <c r="N87" s="37"/>
      <c r="O87" s="37"/>
      <c r="P87" s="34"/>
      <c r="Q87" s="37"/>
      <c r="R87" s="37"/>
      <c r="S87" s="33">
        <f t="shared" si="13"/>
        <v>0.18982215546844761</v>
      </c>
    </row>
    <row r="88" spans="4:19" ht="13.2" x14ac:dyDescent="0.25">
      <c r="D88" s="32">
        <v>47</v>
      </c>
      <c r="E88" s="27">
        <f t="shared" si="10"/>
        <v>0.46115384684762334</v>
      </c>
      <c r="F88" s="28">
        <f t="shared" si="11"/>
        <v>1.0498892774104838</v>
      </c>
      <c r="G88" s="29">
        <f t="shared" si="12"/>
        <v>0</v>
      </c>
      <c r="H88" s="34">
        <f t="shared" si="14"/>
        <v>0</v>
      </c>
      <c r="I88" s="34">
        <f t="shared" si="15"/>
        <v>0</v>
      </c>
      <c r="J88" s="37">
        <f t="shared" si="16"/>
        <v>0</v>
      </c>
      <c r="K88" s="34">
        <f t="shared" si="17"/>
        <v>8.7070804240225903E-3</v>
      </c>
      <c r="L88" s="37">
        <f t="shared" si="18"/>
        <v>0.21197813825147538</v>
      </c>
      <c r="M88" s="34"/>
      <c r="N88" s="37"/>
      <c r="O88" s="37"/>
      <c r="P88" s="34"/>
      <c r="Q88" s="37"/>
      <c r="R88" s="37"/>
      <c r="S88" s="33">
        <f t="shared" si="13"/>
        <v>0.22068521867549798</v>
      </c>
    </row>
    <row r="89" spans="4:19" ht="13.2" x14ac:dyDescent="0.25">
      <c r="D89" s="32">
        <v>48</v>
      </c>
      <c r="E89" s="27">
        <f t="shared" si="10"/>
        <v>0.47096563082310472</v>
      </c>
      <c r="F89" s="28">
        <f t="shared" si="11"/>
        <v>1.0302254836321931</v>
      </c>
      <c r="G89" s="29">
        <f t="shared" si="12"/>
        <v>0</v>
      </c>
      <c r="H89" s="34">
        <f t="shared" si="14"/>
        <v>0</v>
      </c>
      <c r="I89" s="34">
        <f t="shared" si="15"/>
        <v>0</v>
      </c>
      <c r="J89" s="37">
        <f t="shared" si="16"/>
        <v>0</v>
      </c>
      <c r="K89" s="34">
        <f t="shared" si="17"/>
        <v>9.2875524522907631E-3</v>
      </c>
      <c r="L89" s="37">
        <f t="shared" si="18"/>
        <v>0.24226072943025759</v>
      </c>
      <c r="M89" s="34">
        <f t="shared" ref="M89:M189" si="19">$S$12*F41</f>
        <v>0</v>
      </c>
      <c r="N89" s="37"/>
      <c r="O89" s="37"/>
      <c r="P89" s="34"/>
      <c r="Q89" s="37"/>
      <c r="R89" s="37"/>
      <c r="S89" s="33">
        <f t="shared" si="13"/>
        <v>0.25154828188254835</v>
      </c>
    </row>
    <row r="90" spans="4:19" ht="13.2" x14ac:dyDescent="0.25">
      <c r="D90" s="32">
        <v>49</v>
      </c>
      <c r="E90" s="27">
        <f t="shared" si="10"/>
        <v>0.48077741479858604</v>
      </c>
      <c r="F90" s="28">
        <f t="shared" si="11"/>
        <v>1.0105616898539027</v>
      </c>
      <c r="G90" s="29">
        <f t="shared" si="12"/>
        <v>0</v>
      </c>
      <c r="H90" s="34">
        <f t="shared" si="14"/>
        <v>0</v>
      </c>
      <c r="I90" s="34">
        <f t="shared" si="15"/>
        <v>0</v>
      </c>
      <c r="J90" s="37">
        <f t="shared" si="16"/>
        <v>0</v>
      </c>
      <c r="K90" s="34">
        <f t="shared" si="17"/>
        <v>9.8680244805589359E-3</v>
      </c>
      <c r="L90" s="37">
        <f t="shared" si="18"/>
        <v>0.27254332060903985</v>
      </c>
      <c r="M90" s="34">
        <f t="shared" si="19"/>
        <v>0.20814269399859359</v>
      </c>
      <c r="N90" s="37"/>
      <c r="O90" s="37"/>
      <c r="P90" s="34"/>
      <c r="Q90" s="37"/>
      <c r="R90" s="37"/>
      <c r="S90" s="33">
        <f t="shared" si="13"/>
        <v>0.4905540390881924</v>
      </c>
    </row>
    <row r="91" spans="4:19" ht="13.2" x14ac:dyDescent="0.25">
      <c r="D91" s="32">
        <v>50</v>
      </c>
      <c r="E91" s="27">
        <f t="shared" si="10"/>
        <v>0.49058919877406737</v>
      </c>
      <c r="F91" s="28">
        <f t="shared" si="11"/>
        <v>0.99089789607561229</v>
      </c>
      <c r="G91" s="29">
        <f t="shared" si="12"/>
        <v>0</v>
      </c>
      <c r="H91" s="34">
        <f t="shared" si="14"/>
        <v>0</v>
      </c>
      <c r="I91" s="34">
        <f t="shared" si="15"/>
        <v>0</v>
      </c>
      <c r="J91" s="37">
        <f t="shared" si="16"/>
        <v>0</v>
      </c>
      <c r="K91" s="34">
        <f t="shared" si="17"/>
        <v>1.044849650882711E-2</v>
      </c>
      <c r="L91" s="37">
        <f t="shared" si="18"/>
        <v>0.30282591178782203</v>
      </c>
      <c r="M91" s="34">
        <f t="shared" si="19"/>
        <v>0.41628538799718717</v>
      </c>
      <c r="N91" s="37"/>
      <c r="O91" s="37"/>
      <c r="P91" s="34"/>
      <c r="Q91" s="37"/>
      <c r="R91" s="37"/>
      <c r="S91" s="33">
        <f t="shared" si="13"/>
        <v>0.72955979629383627</v>
      </c>
    </row>
    <row r="92" spans="4:19" ht="13.2" x14ac:dyDescent="0.25">
      <c r="D92" s="32">
        <v>51</v>
      </c>
      <c r="E92" s="27">
        <f t="shared" si="10"/>
        <v>0.5004009827495487</v>
      </c>
      <c r="F92" s="28">
        <f t="shared" si="11"/>
        <v>0.97123410229732188</v>
      </c>
      <c r="G92" s="29">
        <f t="shared" si="12"/>
        <v>0</v>
      </c>
      <c r="H92" s="34">
        <f t="shared" si="14"/>
        <v>0</v>
      </c>
      <c r="I92" s="34">
        <f t="shared" si="15"/>
        <v>0</v>
      </c>
      <c r="J92" s="37">
        <f t="shared" si="16"/>
        <v>0</v>
      </c>
      <c r="K92" s="34">
        <f t="shared" si="17"/>
        <v>1.102896853709528E-2</v>
      </c>
      <c r="L92" s="37">
        <f t="shared" si="18"/>
        <v>0.33310850296660421</v>
      </c>
      <c r="M92" s="34">
        <f t="shared" si="19"/>
        <v>0.62442808199578081</v>
      </c>
      <c r="N92" s="37"/>
      <c r="O92" s="37"/>
      <c r="P92" s="34"/>
      <c r="Q92" s="37"/>
      <c r="R92" s="37"/>
      <c r="S92" s="33">
        <f t="shared" si="13"/>
        <v>0.96856555349948037</v>
      </c>
    </row>
    <row r="93" spans="4:19" ht="13.2" x14ac:dyDescent="0.25">
      <c r="D93" s="32">
        <v>52</v>
      </c>
      <c r="E93" s="27">
        <f t="shared" si="10"/>
        <v>0.51021276672503013</v>
      </c>
      <c r="F93" s="28">
        <f t="shared" si="11"/>
        <v>0.95157030851903124</v>
      </c>
      <c r="G93" s="29">
        <f t="shared" si="12"/>
        <v>0</v>
      </c>
      <c r="H93" s="34">
        <f t="shared" si="14"/>
        <v>0</v>
      </c>
      <c r="I93" s="34">
        <f t="shared" si="15"/>
        <v>0</v>
      </c>
      <c r="J93" s="37">
        <f t="shared" si="16"/>
        <v>0</v>
      </c>
      <c r="K93" s="34">
        <f t="shared" si="17"/>
        <v>1.1609440565363454E-2</v>
      </c>
      <c r="L93" s="37">
        <f t="shared" si="18"/>
        <v>0.3633910941453864</v>
      </c>
      <c r="M93" s="34">
        <f t="shared" si="19"/>
        <v>0.83257077599437435</v>
      </c>
      <c r="N93" s="37"/>
      <c r="O93" s="37"/>
      <c r="P93" s="34"/>
      <c r="Q93" s="37"/>
      <c r="R93" s="37"/>
      <c r="S93" s="33">
        <f t="shared" si="13"/>
        <v>1.2075713107051242</v>
      </c>
    </row>
    <row r="94" spans="4:19" ht="13.2" x14ac:dyDescent="0.25">
      <c r="D94" s="32">
        <v>53</v>
      </c>
      <c r="E94" s="27">
        <f t="shared" si="10"/>
        <v>0.52002455070051146</v>
      </c>
      <c r="F94" s="28">
        <f t="shared" si="11"/>
        <v>0.93190651474074082</v>
      </c>
      <c r="G94" s="29">
        <f t="shared" si="12"/>
        <v>0</v>
      </c>
      <c r="H94" s="34">
        <f t="shared" si="14"/>
        <v>0</v>
      </c>
      <c r="I94" s="34">
        <f t="shared" si="15"/>
        <v>0</v>
      </c>
      <c r="J94" s="37">
        <f t="shared" si="16"/>
        <v>0</v>
      </c>
      <c r="K94" s="34">
        <f t="shared" si="17"/>
        <v>1.2189912593631627E-2</v>
      </c>
      <c r="L94" s="37">
        <f t="shared" si="18"/>
        <v>0.39367368532416863</v>
      </c>
      <c r="M94" s="34">
        <f t="shared" si="19"/>
        <v>1.0407134699929681</v>
      </c>
      <c r="N94" s="37"/>
      <c r="O94" s="37"/>
      <c r="P94" s="34"/>
      <c r="Q94" s="37"/>
      <c r="R94" s="37"/>
      <c r="S94" s="33">
        <f t="shared" si="13"/>
        <v>1.4465770679107683</v>
      </c>
    </row>
    <row r="95" spans="4:19" ht="13.2" x14ac:dyDescent="0.25">
      <c r="D95" s="32">
        <v>54</v>
      </c>
      <c r="E95" s="27">
        <f t="shared" si="10"/>
        <v>0.52983633467599278</v>
      </c>
      <c r="F95" s="28">
        <f t="shared" si="11"/>
        <v>0.9122427209624504</v>
      </c>
      <c r="G95" s="29">
        <f t="shared" si="12"/>
        <v>0</v>
      </c>
      <c r="H95" s="34">
        <f t="shared" si="14"/>
        <v>0</v>
      </c>
      <c r="I95" s="34">
        <f t="shared" si="15"/>
        <v>0</v>
      </c>
      <c r="J95" s="37">
        <f t="shared" si="16"/>
        <v>0</v>
      </c>
      <c r="K95" s="34">
        <f t="shared" si="17"/>
        <v>1.27703846218998E-2</v>
      </c>
      <c r="L95" s="37">
        <f t="shared" si="18"/>
        <v>0.42395627650295076</v>
      </c>
      <c r="M95" s="34">
        <f t="shared" si="19"/>
        <v>1.2488561639915616</v>
      </c>
      <c r="N95" s="37"/>
      <c r="O95" s="37"/>
      <c r="P95" s="34"/>
      <c r="Q95" s="37"/>
      <c r="R95" s="37"/>
      <c r="S95" s="33">
        <f t="shared" si="13"/>
        <v>1.6855828251164122</v>
      </c>
    </row>
    <row r="96" spans="4:19" ht="13.2" x14ac:dyDescent="0.25">
      <c r="D96" s="32">
        <v>55</v>
      </c>
      <c r="E96" s="27">
        <f t="shared" si="10"/>
        <v>0.53964811865147411</v>
      </c>
      <c r="F96" s="28">
        <f t="shared" si="11"/>
        <v>0.89257892718415999</v>
      </c>
      <c r="G96" s="29">
        <f t="shared" si="12"/>
        <v>0</v>
      </c>
      <c r="H96" s="34">
        <f t="shared" si="14"/>
        <v>0</v>
      </c>
      <c r="I96" s="34">
        <f t="shared" si="15"/>
        <v>0</v>
      </c>
      <c r="J96" s="37">
        <f t="shared" si="16"/>
        <v>0</v>
      </c>
      <c r="K96" s="34">
        <f t="shared" si="17"/>
        <v>1.3350856650167975E-2</v>
      </c>
      <c r="L96" s="37">
        <f t="shared" si="18"/>
        <v>0.45423886768173294</v>
      </c>
      <c r="M96" s="34">
        <f t="shared" si="19"/>
        <v>1.4569988579901552</v>
      </c>
      <c r="N96" s="37"/>
      <c r="O96" s="37"/>
      <c r="P96" s="34"/>
      <c r="Q96" s="37"/>
      <c r="R96" s="37"/>
      <c r="S96" s="33">
        <f t="shared" si="13"/>
        <v>1.9245885823220561</v>
      </c>
    </row>
    <row r="97" spans="4:19" ht="13.2" x14ac:dyDescent="0.25">
      <c r="D97" s="32">
        <v>56</v>
      </c>
      <c r="E97" s="27">
        <f t="shared" si="10"/>
        <v>0.54945990262695543</v>
      </c>
      <c r="F97" s="28">
        <f t="shared" si="11"/>
        <v>0.87291513340586957</v>
      </c>
      <c r="G97" s="29">
        <f t="shared" si="12"/>
        <v>0</v>
      </c>
      <c r="H97" s="34">
        <f t="shared" si="14"/>
        <v>0</v>
      </c>
      <c r="I97" s="34">
        <f t="shared" si="15"/>
        <v>0</v>
      </c>
      <c r="J97" s="37">
        <f t="shared" si="16"/>
        <v>0</v>
      </c>
      <c r="K97" s="34">
        <f t="shared" si="17"/>
        <v>1.3931328678436146E-2</v>
      </c>
      <c r="L97" s="37">
        <f t="shared" si="18"/>
        <v>0.48452145886051518</v>
      </c>
      <c r="M97" s="34">
        <f t="shared" si="19"/>
        <v>1.6651415519887487</v>
      </c>
      <c r="N97" s="37">
        <f t="shared" ref="N97:N197" si="20">F41*$S$13</f>
        <v>0</v>
      </c>
      <c r="O97" s="37"/>
      <c r="P97" s="34"/>
      <c r="Q97" s="37"/>
      <c r="R97" s="37"/>
      <c r="S97" s="33">
        <f t="shared" si="13"/>
        <v>2.1635943395277</v>
      </c>
    </row>
    <row r="98" spans="4:19" ht="13.2" x14ac:dyDescent="0.25">
      <c r="D98" s="32">
        <v>57</v>
      </c>
      <c r="E98" s="27">
        <f t="shared" si="10"/>
        <v>0.55927168660243687</v>
      </c>
      <c r="F98" s="28">
        <f t="shared" si="11"/>
        <v>0.85325133962757893</v>
      </c>
      <c r="G98" s="29">
        <f t="shared" si="12"/>
        <v>0</v>
      </c>
      <c r="H98" s="34">
        <f t="shared" si="14"/>
        <v>0</v>
      </c>
      <c r="I98" s="34">
        <f t="shared" si="15"/>
        <v>0</v>
      </c>
      <c r="J98" s="37">
        <f t="shared" si="16"/>
        <v>0</v>
      </c>
      <c r="K98" s="34">
        <f t="shared" si="17"/>
        <v>1.4511800706704317E-2</v>
      </c>
      <c r="L98" s="37">
        <f t="shared" si="18"/>
        <v>0.51480405003929741</v>
      </c>
      <c r="M98" s="34">
        <f t="shared" si="19"/>
        <v>1.8732842459873427</v>
      </c>
      <c r="N98" s="37">
        <f t="shared" si="20"/>
        <v>8.9559187108826141E-2</v>
      </c>
      <c r="O98" s="37"/>
      <c r="P98" s="34"/>
      <c r="Q98" s="37"/>
      <c r="R98" s="37"/>
      <c r="S98" s="33">
        <f t="shared" si="13"/>
        <v>2.4921592838421707</v>
      </c>
    </row>
    <row r="99" spans="4:19" ht="13.2" x14ac:dyDescent="0.25">
      <c r="D99" s="32">
        <v>58</v>
      </c>
      <c r="E99" s="27">
        <f t="shared" si="10"/>
        <v>0.56908347057791819</v>
      </c>
      <c r="F99" s="28">
        <f t="shared" si="11"/>
        <v>0.83358754584928851</v>
      </c>
      <c r="G99" s="29">
        <f t="shared" si="12"/>
        <v>0</v>
      </c>
      <c r="H99" s="34">
        <f t="shared" si="14"/>
        <v>0</v>
      </c>
      <c r="I99" s="34">
        <f t="shared" si="15"/>
        <v>0</v>
      </c>
      <c r="J99" s="37">
        <f t="shared" si="16"/>
        <v>0</v>
      </c>
      <c r="K99" s="34">
        <f t="shared" si="17"/>
        <v>1.5092272734972493E-2</v>
      </c>
      <c r="L99" s="37">
        <f t="shared" si="18"/>
        <v>0.5450866412180797</v>
      </c>
      <c r="M99" s="34">
        <f t="shared" si="19"/>
        <v>2.0814269399859362</v>
      </c>
      <c r="N99" s="37">
        <f t="shared" si="20"/>
        <v>0.17911837421765228</v>
      </c>
      <c r="O99" s="37"/>
      <c r="P99" s="34"/>
      <c r="Q99" s="37"/>
      <c r="R99" s="37"/>
      <c r="S99" s="33">
        <f t="shared" si="13"/>
        <v>2.8207242281566405</v>
      </c>
    </row>
    <row r="100" spans="4:19" ht="13.2" x14ac:dyDescent="0.25">
      <c r="D100" s="32">
        <v>59</v>
      </c>
      <c r="E100" s="27">
        <f t="shared" si="10"/>
        <v>0.57889525455339952</v>
      </c>
      <c r="F100" s="28">
        <f t="shared" si="11"/>
        <v>0.8139237520709981</v>
      </c>
      <c r="G100" s="29">
        <f t="shared" si="12"/>
        <v>0</v>
      </c>
      <c r="H100" s="34">
        <f t="shared" si="14"/>
        <v>0</v>
      </c>
      <c r="I100" s="34">
        <f t="shared" si="15"/>
        <v>0</v>
      </c>
      <c r="J100" s="37">
        <f t="shared" si="16"/>
        <v>0</v>
      </c>
      <c r="K100" s="34">
        <f t="shared" si="17"/>
        <v>1.5672744763240664E-2</v>
      </c>
      <c r="L100" s="37">
        <f t="shared" si="18"/>
        <v>0.57536923239686177</v>
      </c>
      <c r="M100" s="34">
        <f t="shared" si="19"/>
        <v>2.2895696339845295</v>
      </c>
      <c r="N100" s="37">
        <f t="shared" si="20"/>
        <v>0.26867756132647846</v>
      </c>
      <c r="O100" s="37"/>
      <c r="P100" s="34"/>
      <c r="Q100" s="37"/>
      <c r="R100" s="37"/>
      <c r="S100" s="33">
        <f t="shared" si="13"/>
        <v>3.1492891724711103</v>
      </c>
    </row>
    <row r="101" spans="4:19" ht="13.2" x14ac:dyDescent="0.25">
      <c r="D101" s="32">
        <v>60</v>
      </c>
      <c r="E101" s="27">
        <f t="shared" si="10"/>
        <v>0.58870703852888084</v>
      </c>
      <c r="F101" s="28">
        <f t="shared" si="11"/>
        <v>0.79425995829270768</v>
      </c>
      <c r="G101" s="29">
        <f t="shared" si="12"/>
        <v>0</v>
      </c>
      <c r="H101" s="34">
        <f t="shared" si="14"/>
        <v>0</v>
      </c>
      <c r="I101" s="34">
        <f t="shared" si="15"/>
        <v>0</v>
      </c>
      <c r="J101" s="37">
        <f t="shared" si="16"/>
        <v>0</v>
      </c>
      <c r="K101" s="34">
        <f t="shared" si="17"/>
        <v>1.6253216791508835E-2</v>
      </c>
      <c r="L101" s="37">
        <f t="shared" si="18"/>
        <v>0.60565182357564407</v>
      </c>
      <c r="M101" s="34">
        <f t="shared" si="19"/>
        <v>2.4977123279831233</v>
      </c>
      <c r="N101" s="37">
        <f t="shared" si="20"/>
        <v>0.35823674843530456</v>
      </c>
      <c r="O101" s="37"/>
      <c r="P101" s="34"/>
      <c r="Q101" s="37"/>
      <c r="R101" s="37"/>
      <c r="S101" s="33">
        <f t="shared" si="13"/>
        <v>3.477854116785581</v>
      </c>
    </row>
    <row r="102" spans="4:19" ht="13.2" x14ac:dyDescent="0.25">
      <c r="D102" s="32">
        <v>61</v>
      </c>
      <c r="E102" s="27">
        <f t="shared" si="10"/>
        <v>0.59851882250436217</v>
      </c>
      <c r="F102" s="28">
        <f t="shared" si="11"/>
        <v>0.77459616451441726</v>
      </c>
      <c r="G102" s="29">
        <f t="shared" si="12"/>
        <v>0</v>
      </c>
      <c r="H102" s="34">
        <f t="shared" si="14"/>
        <v>0</v>
      </c>
      <c r="I102" s="34">
        <f t="shared" si="15"/>
        <v>0</v>
      </c>
      <c r="J102" s="37">
        <f t="shared" si="16"/>
        <v>0</v>
      </c>
      <c r="K102" s="34">
        <f t="shared" si="17"/>
        <v>1.683368881977701E-2</v>
      </c>
      <c r="L102" s="37">
        <f t="shared" si="18"/>
        <v>0.63593441475442625</v>
      </c>
      <c r="M102" s="34">
        <f t="shared" si="19"/>
        <v>2.705855021981717</v>
      </c>
      <c r="N102" s="37">
        <f t="shared" si="20"/>
        <v>0.44779593554413072</v>
      </c>
      <c r="O102" s="37"/>
      <c r="P102" s="34"/>
      <c r="Q102" s="37"/>
      <c r="R102" s="37"/>
      <c r="S102" s="33">
        <f t="shared" si="13"/>
        <v>3.8064190611000508</v>
      </c>
    </row>
    <row r="103" spans="4:19" ht="13.2" x14ac:dyDescent="0.25">
      <c r="D103" s="32">
        <v>62</v>
      </c>
      <c r="E103" s="27">
        <f t="shared" si="10"/>
        <v>0.60833060647984361</v>
      </c>
      <c r="F103" s="28">
        <f t="shared" si="11"/>
        <v>0.75493237073612662</v>
      </c>
      <c r="G103" s="29">
        <f t="shared" si="12"/>
        <v>0</v>
      </c>
      <c r="H103" s="34">
        <f t="shared" si="14"/>
        <v>0</v>
      </c>
      <c r="I103" s="34">
        <f t="shared" si="15"/>
        <v>0</v>
      </c>
      <c r="J103" s="37">
        <f t="shared" si="16"/>
        <v>0</v>
      </c>
      <c r="K103" s="34">
        <f t="shared" si="17"/>
        <v>1.7414160848045181E-2</v>
      </c>
      <c r="L103" s="37">
        <f t="shared" si="18"/>
        <v>0.66621700593320843</v>
      </c>
      <c r="M103" s="34">
        <f t="shared" si="19"/>
        <v>2.9139977159803103</v>
      </c>
      <c r="N103" s="37">
        <f t="shared" si="20"/>
        <v>0.53735512265295693</v>
      </c>
      <c r="O103" s="37"/>
      <c r="P103" s="34"/>
      <c r="Q103" s="37"/>
      <c r="R103" s="37"/>
      <c r="S103" s="33">
        <f t="shared" si="13"/>
        <v>4.1349840054145206</v>
      </c>
    </row>
    <row r="104" spans="4:19" ht="13.2" x14ac:dyDescent="0.25">
      <c r="D104" s="32">
        <v>63</v>
      </c>
      <c r="E104" s="27">
        <f t="shared" si="10"/>
        <v>0.61814239045532493</v>
      </c>
      <c r="F104" s="28">
        <f t="shared" si="11"/>
        <v>0.73526857695783621</v>
      </c>
      <c r="G104" s="29">
        <f t="shared" si="12"/>
        <v>0</v>
      </c>
      <c r="H104" s="34">
        <f t="shared" si="14"/>
        <v>0</v>
      </c>
      <c r="I104" s="34">
        <f t="shared" si="15"/>
        <v>0</v>
      </c>
      <c r="J104" s="37">
        <f t="shared" si="16"/>
        <v>0</v>
      </c>
      <c r="K104" s="34">
        <f t="shared" si="17"/>
        <v>1.7994632876313355E-2</v>
      </c>
      <c r="L104" s="37">
        <f t="shared" si="18"/>
        <v>0.69649959711199061</v>
      </c>
      <c r="M104" s="34">
        <f t="shared" si="19"/>
        <v>3.1221404099789036</v>
      </c>
      <c r="N104" s="37">
        <f t="shared" si="20"/>
        <v>0.62691430976178297</v>
      </c>
      <c r="O104" s="37"/>
      <c r="P104" s="34"/>
      <c r="Q104" s="37"/>
      <c r="R104" s="37"/>
      <c r="S104" s="33">
        <f t="shared" si="13"/>
        <v>4.46354894972899</v>
      </c>
    </row>
    <row r="105" spans="4:19" ht="13.2" x14ac:dyDescent="0.25">
      <c r="D105" s="32">
        <v>64</v>
      </c>
      <c r="E105" s="27">
        <f t="shared" si="10"/>
        <v>0.62795417443080626</v>
      </c>
      <c r="F105" s="28">
        <f t="shared" si="11"/>
        <v>0.71560478317954579</v>
      </c>
      <c r="G105" s="29">
        <f t="shared" si="12"/>
        <v>0</v>
      </c>
      <c r="H105" s="34">
        <f t="shared" si="14"/>
        <v>0</v>
      </c>
      <c r="I105" s="34">
        <f t="shared" si="15"/>
        <v>0</v>
      </c>
      <c r="J105" s="37">
        <f t="shared" si="16"/>
        <v>0</v>
      </c>
      <c r="K105" s="34">
        <f t="shared" si="17"/>
        <v>1.8575104904581526E-2</v>
      </c>
      <c r="L105" s="37">
        <f t="shared" si="18"/>
        <v>0.72678218829077279</v>
      </c>
      <c r="M105" s="34">
        <f t="shared" si="19"/>
        <v>3.3302831039774974</v>
      </c>
      <c r="N105" s="37">
        <f t="shared" si="20"/>
        <v>0.71647349687060913</v>
      </c>
      <c r="O105" s="37">
        <f t="shared" ref="O105:O205" si="21">F41*$S$14</f>
        <v>0</v>
      </c>
      <c r="P105" s="34"/>
      <c r="Q105" s="37"/>
      <c r="R105" s="37"/>
      <c r="S105" s="33">
        <f t="shared" si="13"/>
        <v>4.7921138940434611</v>
      </c>
    </row>
    <row r="106" spans="4:19" ht="13.2" x14ac:dyDescent="0.25">
      <c r="D106" s="32">
        <v>65</v>
      </c>
      <c r="E106" s="27">
        <f t="shared" si="10"/>
        <v>0.63776595840628758</v>
      </c>
      <c r="F106" s="28">
        <f t="shared" si="11"/>
        <v>0.69594098940125537</v>
      </c>
      <c r="G106" s="29">
        <f t="shared" si="12"/>
        <v>0</v>
      </c>
      <c r="H106" s="34">
        <f t="shared" si="14"/>
        <v>0</v>
      </c>
      <c r="I106" s="34">
        <f t="shared" si="15"/>
        <v>0</v>
      </c>
      <c r="J106" s="37">
        <f t="shared" si="16"/>
        <v>0</v>
      </c>
      <c r="K106" s="34">
        <f t="shared" si="17"/>
        <v>1.9155576932849697E-2</v>
      </c>
      <c r="L106" s="37">
        <f t="shared" si="18"/>
        <v>0.75706477946955497</v>
      </c>
      <c r="M106" s="34">
        <f t="shared" si="19"/>
        <v>3.5384257979760911</v>
      </c>
      <c r="N106" s="37">
        <f t="shared" si="20"/>
        <v>0.80603268397943539</v>
      </c>
      <c r="O106" s="37">
        <f t="shared" si="21"/>
        <v>6.841606629436893E-2</v>
      </c>
      <c r="P106" s="34"/>
      <c r="Q106" s="37"/>
      <c r="R106" s="37"/>
      <c r="S106" s="33">
        <f t="shared" si="13"/>
        <v>5.1890949046522996</v>
      </c>
    </row>
    <row r="107" spans="4:19" ht="13.2" x14ac:dyDescent="0.25">
      <c r="D107" s="32">
        <v>66</v>
      </c>
      <c r="E107" s="27">
        <f t="shared" si="10"/>
        <v>0.64757774238176891</v>
      </c>
      <c r="F107" s="28">
        <f t="shared" si="11"/>
        <v>0.67627719562296518</v>
      </c>
      <c r="G107" s="29">
        <f t="shared" si="12"/>
        <v>0</v>
      </c>
      <c r="H107" s="34">
        <f t="shared" si="14"/>
        <v>0</v>
      </c>
      <c r="I107" s="34">
        <f t="shared" si="15"/>
        <v>0</v>
      </c>
      <c r="J107" s="37">
        <f t="shared" si="16"/>
        <v>0</v>
      </c>
      <c r="K107" s="34">
        <f t="shared" si="17"/>
        <v>1.9736048961117872E-2</v>
      </c>
      <c r="L107" s="37">
        <f t="shared" si="18"/>
        <v>0.78734737064833726</v>
      </c>
      <c r="M107" s="34">
        <f t="shared" si="19"/>
        <v>3.7465684919746853</v>
      </c>
      <c r="N107" s="37">
        <f t="shared" si="20"/>
        <v>0.89559187108826144</v>
      </c>
      <c r="O107" s="37">
        <f t="shared" si="21"/>
        <v>0.13683213258873786</v>
      </c>
      <c r="P107" s="34"/>
      <c r="Q107" s="37"/>
      <c r="R107" s="37"/>
      <c r="S107" s="33">
        <f t="shared" si="13"/>
        <v>5.5860759152611399</v>
      </c>
    </row>
    <row r="108" spans="4:19" ht="13.2" x14ac:dyDescent="0.25">
      <c r="D108" s="32">
        <v>67</v>
      </c>
      <c r="E108" s="27">
        <f t="shared" si="10"/>
        <v>0.65738952635725034</v>
      </c>
      <c r="F108" s="28">
        <f t="shared" si="11"/>
        <v>0.65661340184467454</v>
      </c>
      <c r="G108" s="29">
        <f t="shared" si="12"/>
        <v>0</v>
      </c>
      <c r="H108" s="34">
        <f t="shared" si="14"/>
        <v>0</v>
      </c>
      <c r="I108" s="34">
        <f t="shared" si="15"/>
        <v>0</v>
      </c>
      <c r="J108" s="37">
        <f t="shared" si="16"/>
        <v>0</v>
      </c>
      <c r="K108" s="34">
        <f t="shared" si="17"/>
        <v>2.0316520989386046E-2</v>
      </c>
      <c r="L108" s="37">
        <f t="shared" si="18"/>
        <v>0.81762996182711933</v>
      </c>
      <c r="M108" s="34">
        <f t="shared" si="19"/>
        <v>3.9547111859732782</v>
      </c>
      <c r="N108" s="37">
        <f t="shared" si="20"/>
        <v>0.98515105819708748</v>
      </c>
      <c r="O108" s="37">
        <f t="shared" si="21"/>
        <v>0.20524819888310683</v>
      </c>
      <c r="P108" s="34"/>
      <c r="Q108" s="37"/>
      <c r="R108" s="37"/>
      <c r="S108" s="33">
        <f t="shared" si="13"/>
        <v>5.9830569258699775</v>
      </c>
    </row>
    <row r="109" spans="4:19" ht="13.2" x14ac:dyDescent="0.25">
      <c r="D109" s="32">
        <v>68</v>
      </c>
      <c r="E109" s="27">
        <f t="shared" si="10"/>
        <v>0.66720131033273167</v>
      </c>
      <c r="F109" s="28">
        <f t="shared" si="11"/>
        <v>0.63694960806638412</v>
      </c>
      <c r="G109" s="29">
        <f t="shared" si="12"/>
        <v>0</v>
      </c>
      <c r="H109" s="34">
        <f t="shared" si="14"/>
        <v>0</v>
      </c>
      <c r="I109" s="34">
        <f t="shared" si="15"/>
        <v>0</v>
      </c>
      <c r="J109" s="37">
        <f t="shared" si="16"/>
        <v>0</v>
      </c>
      <c r="K109" s="34">
        <f t="shared" si="17"/>
        <v>2.0896993017654221E-2</v>
      </c>
      <c r="L109" s="37">
        <f t="shared" si="18"/>
        <v>0.84791255300590151</v>
      </c>
      <c r="M109" s="34">
        <f t="shared" si="19"/>
        <v>4.1628538799718724</v>
      </c>
      <c r="N109" s="37">
        <f t="shared" si="20"/>
        <v>1.0747102453059139</v>
      </c>
      <c r="O109" s="37">
        <f t="shared" si="21"/>
        <v>0.27366426517747572</v>
      </c>
      <c r="P109" s="34"/>
      <c r="Q109" s="37"/>
      <c r="R109" s="37"/>
      <c r="S109" s="33">
        <f t="shared" si="13"/>
        <v>6.3800379364788178</v>
      </c>
    </row>
    <row r="110" spans="4:19" ht="13.2" x14ac:dyDescent="0.25">
      <c r="D110" s="32">
        <v>69</v>
      </c>
      <c r="E110" s="27">
        <f t="shared" si="10"/>
        <v>0.67701309430821299</v>
      </c>
      <c r="F110" s="28">
        <f t="shared" si="11"/>
        <v>0.6172858142880937</v>
      </c>
      <c r="G110" s="29">
        <f t="shared" si="12"/>
        <v>0</v>
      </c>
      <c r="H110" s="34">
        <f t="shared" si="14"/>
        <v>0</v>
      </c>
      <c r="I110" s="34">
        <f t="shared" si="15"/>
        <v>0</v>
      </c>
      <c r="J110" s="37">
        <f t="shared" si="16"/>
        <v>0</v>
      </c>
      <c r="K110" s="34">
        <f t="shared" si="17"/>
        <v>2.1477465045922392E-2</v>
      </c>
      <c r="L110" s="37">
        <f t="shared" si="18"/>
        <v>0.87819514418468381</v>
      </c>
      <c r="M110" s="34">
        <f t="shared" si="19"/>
        <v>4.3709965739704657</v>
      </c>
      <c r="N110" s="37">
        <f t="shared" si="20"/>
        <v>1.16426943241474</v>
      </c>
      <c r="O110" s="37">
        <f t="shared" si="21"/>
        <v>0.34208033147184469</v>
      </c>
      <c r="P110" s="34"/>
      <c r="Q110" s="37"/>
      <c r="R110" s="37"/>
      <c r="S110" s="33">
        <f t="shared" si="13"/>
        <v>6.7770189470876563</v>
      </c>
    </row>
    <row r="111" spans="4:19" ht="13.2" x14ac:dyDescent="0.25">
      <c r="D111" s="32">
        <v>70</v>
      </c>
      <c r="E111" s="27">
        <f t="shared" si="10"/>
        <v>0.68682487828369432</v>
      </c>
      <c r="F111" s="28">
        <f t="shared" si="11"/>
        <v>0.59762202050980329</v>
      </c>
      <c r="G111" s="29">
        <f t="shared" si="12"/>
        <v>0</v>
      </c>
      <c r="H111" s="34">
        <f t="shared" si="14"/>
        <v>0</v>
      </c>
      <c r="I111" s="34">
        <f t="shared" si="15"/>
        <v>0</v>
      </c>
      <c r="J111" s="37">
        <f t="shared" si="16"/>
        <v>0</v>
      </c>
      <c r="K111" s="34">
        <f t="shared" si="17"/>
        <v>2.1686713046531633E-2</v>
      </c>
      <c r="L111" s="37">
        <f t="shared" si="18"/>
        <v>0.90847773536346588</v>
      </c>
      <c r="M111" s="34">
        <f t="shared" si="19"/>
        <v>4.579139267969059</v>
      </c>
      <c r="N111" s="37">
        <f t="shared" si="20"/>
        <v>1.2538286195235659</v>
      </c>
      <c r="O111" s="37">
        <f t="shared" si="21"/>
        <v>0.41049639776621366</v>
      </c>
      <c r="P111" s="34"/>
      <c r="Q111" s="37"/>
      <c r="R111" s="37"/>
      <c r="S111" s="33">
        <f t="shared" si="13"/>
        <v>7.1736287336688367</v>
      </c>
    </row>
    <row r="112" spans="4:19" ht="13.2" x14ac:dyDescent="0.25">
      <c r="D112" s="32">
        <v>71</v>
      </c>
      <c r="E112" s="27">
        <f t="shared" si="10"/>
        <v>0.69663666225917564</v>
      </c>
      <c r="F112" s="28">
        <f t="shared" si="11"/>
        <v>0.57795822673151287</v>
      </c>
      <c r="G112" s="29">
        <f t="shared" si="12"/>
        <v>0</v>
      </c>
      <c r="H112" s="34">
        <f t="shared" si="14"/>
        <v>0</v>
      </c>
      <c r="I112" s="34">
        <f t="shared" si="15"/>
        <v>0</v>
      </c>
      <c r="J112" s="37">
        <f t="shared" si="16"/>
        <v>0</v>
      </c>
      <c r="K112" s="34">
        <f t="shared" si="17"/>
        <v>2.1339125005652486E-2</v>
      </c>
      <c r="L112" s="37">
        <f t="shared" si="18"/>
        <v>0.93876032654224828</v>
      </c>
      <c r="M112" s="34">
        <f t="shared" si="19"/>
        <v>4.7872819619676532</v>
      </c>
      <c r="N112" s="37">
        <f t="shared" si="20"/>
        <v>1.3433878066323921</v>
      </c>
      <c r="O112" s="37">
        <f t="shared" si="21"/>
        <v>0.47891246406058252</v>
      </c>
      <c r="P112" s="34"/>
      <c r="Q112" s="37"/>
      <c r="R112" s="37"/>
      <c r="S112" s="33">
        <f t="shared" si="13"/>
        <v>7.5696816842085282</v>
      </c>
    </row>
    <row r="113" spans="4:19" ht="13.2" x14ac:dyDescent="0.25">
      <c r="D113" s="32">
        <v>72</v>
      </c>
      <c r="E113" s="27">
        <f t="shared" si="10"/>
        <v>0.70644844623465708</v>
      </c>
      <c r="F113" s="28">
        <f t="shared" si="11"/>
        <v>0.55829443295322223</v>
      </c>
      <c r="G113" s="29">
        <f t="shared" si="12"/>
        <v>0</v>
      </c>
      <c r="H113" s="34">
        <f t="shared" si="14"/>
        <v>0</v>
      </c>
      <c r="I113" s="34">
        <f t="shared" si="15"/>
        <v>0</v>
      </c>
      <c r="J113" s="37">
        <f t="shared" si="16"/>
        <v>0</v>
      </c>
      <c r="K113" s="34">
        <f t="shared" si="17"/>
        <v>2.0991536964773343E-2</v>
      </c>
      <c r="L113" s="37">
        <f t="shared" si="18"/>
        <v>0.96904291772103035</v>
      </c>
      <c r="M113" s="34">
        <f t="shared" si="19"/>
        <v>4.9954246559662465</v>
      </c>
      <c r="N113" s="37">
        <f t="shared" si="20"/>
        <v>1.4329469937412183</v>
      </c>
      <c r="O113" s="37">
        <f t="shared" si="21"/>
        <v>0.54732853035495144</v>
      </c>
      <c r="P113" s="34">
        <f t="shared" ref="P113:P213" si="22">$S$15*F41</f>
        <v>0</v>
      </c>
      <c r="Q113" s="37"/>
      <c r="R113" s="37"/>
      <c r="S113" s="33">
        <f t="shared" si="13"/>
        <v>7.9657346347482196</v>
      </c>
    </row>
    <row r="114" spans="4:19" ht="13.2" x14ac:dyDescent="0.25">
      <c r="D114" s="32">
        <v>73</v>
      </c>
      <c r="E114" s="27">
        <f t="shared" si="10"/>
        <v>0.7162602302101384</v>
      </c>
      <c r="F114" s="28">
        <f t="shared" si="11"/>
        <v>0.53863063917493181</v>
      </c>
      <c r="G114" s="29">
        <f t="shared" si="12"/>
        <v>0</v>
      </c>
      <c r="H114" s="34">
        <f t="shared" si="14"/>
        <v>0</v>
      </c>
      <c r="I114" s="34">
        <f t="shared" si="15"/>
        <v>0</v>
      </c>
      <c r="J114" s="37">
        <f t="shared" si="16"/>
        <v>0</v>
      </c>
      <c r="K114" s="34">
        <f t="shared" si="17"/>
        <v>2.0643948923894196E-2</v>
      </c>
      <c r="L114" s="37">
        <f t="shared" si="18"/>
        <v>0.99932550889981242</v>
      </c>
      <c r="M114" s="34">
        <f t="shared" si="19"/>
        <v>5.2035673499648398</v>
      </c>
      <c r="N114" s="37">
        <f t="shared" si="20"/>
        <v>1.5225061808500444</v>
      </c>
      <c r="O114" s="37">
        <f t="shared" si="21"/>
        <v>0.61574459664932046</v>
      </c>
      <c r="P114" s="34">
        <f t="shared" si="22"/>
        <v>5.8074863284745211E-2</v>
      </c>
      <c r="Q114" s="37"/>
      <c r="R114" s="37"/>
      <c r="S114" s="33">
        <f t="shared" si="13"/>
        <v>8.4198624485726548</v>
      </c>
    </row>
    <row r="115" spans="4:19" ht="13.2" x14ac:dyDescent="0.25">
      <c r="D115" s="32">
        <v>74</v>
      </c>
      <c r="E115" s="27">
        <f t="shared" si="10"/>
        <v>0.72607201418561973</v>
      </c>
      <c r="F115" s="28">
        <f t="shared" si="11"/>
        <v>0.5189668453966414</v>
      </c>
      <c r="G115" s="29">
        <f t="shared" si="12"/>
        <v>0</v>
      </c>
      <c r="H115" s="34">
        <f t="shared" si="14"/>
        <v>0</v>
      </c>
      <c r="I115" s="34">
        <f t="shared" si="15"/>
        <v>0</v>
      </c>
      <c r="J115" s="37">
        <f t="shared" si="16"/>
        <v>0</v>
      </c>
      <c r="K115" s="34">
        <f t="shared" si="17"/>
        <v>2.0296360883015049E-2</v>
      </c>
      <c r="L115" s="37">
        <f t="shared" si="18"/>
        <v>1.0296081000785948</v>
      </c>
      <c r="M115" s="34">
        <f t="shared" si="19"/>
        <v>5.411710043963434</v>
      </c>
      <c r="N115" s="37">
        <f t="shared" si="20"/>
        <v>1.6120653679588708</v>
      </c>
      <c r="O115" s="37">
        <f t="shared" si="21"/>
        <v>0.68416066294368938</v>
      </c>
      <c r="P115" s="34">
        <f t="shared" si="22"/>
        <v>0.11614972656949042</v>
      </c>
      <c r="Q115" s="37"/>
      <c r="R115" s="37"/>
      <c r="S115" s="33">
        <f t="shared" si="13"/>
        <v>8.8739902623970952</v>
      </c>
    </row>
    <row r="116" spans="4:19" ht="13.2" x14ac:dyDescent="0.25">
      <c r="D116" s="32">
        <v>75</v>
      </c>
      <c r="E116" s="27">
        <f t="shared" si="10"/>
        <v>0.73588379816110105</v>
      </c>
      <c r="F116" s="28">
        <f t="shared" si="11"/>
        <v>0.49930305161835098</v>
      </c>
      <c r="G116" s="29">
        <f t="shared" si="12"/>
        <v>0</v>
      </c>
      <c r="H116" s="34">
        <f t="shared" si="14"/>
        <v>0</v>
      </c>
      <c r="I116" s="34">
        <f t="shared" si="15"/>
        <v>0</v>
      </c>
      <c r="J116" s="37">
        <f t="shared" si="16"/>
        <v>0</v>
      </c>
      <c r="K116" s="34">
        <f t="shared" si="17"/>
        <v>1.9948772842135906E-2</v>
      </c>
      <c r="L116" s="37">
        <f t="shared" si="18"/>
        <v>1.0598906912573771</v>
      </c>
      <c r="M116" s="34">
        <f t="shared" si="19"/>
        <v>5.6198527379620273</v>
      </c>
      <c r="N116" s="37">
        <f t="shared" si="20"/>
        <v>1.7016245550676965</v>
      </c>
      <c r="O116" s="37">
        <f t="shared" si="21"/>
        <v>0.7525767292380583</v>
      </c>
      <c r="P116" s="34">
        <f t="shared" si="22"/>
        <v>0.17422458985423564</v>
      </c>
      <c r="Q116" s="37"/>
      <c r="R116" s="37"/>
      <c r="S116" s="33">
        <f t="shared" si="13"/>
        <v>9.3281180762215303</v>
      </c>
    </row>
    <row r="117" spans="4:19" ht="13.2" x14ac:dyDescent="0.25">
      <c r="D117" s="32">
        <v>76</v>
      </c>
      <c r="E117" s="27">
        <f t="shared" si="10"/>
        <v>0.74569558213658238</v>
      </c>
      <c r="F117" s="28">
        <f t="shared" si="11"/>
        <v>0.47963925784006056</v>
      </c>
      <c r="G117" s="29">
        <f t="shared" si="12"/>
        <v>0</v>
      </c>
      <c r="H117" s="34">
        <f t="shared" si="14"/>
        <v>0</v>
      </c>
      <c r="I117" s="34">
        <f t="shared" si="15"/>
        <v>0</v>
      </c>
      <c r="J117" s="37">
        <f t="shared" si="16"/>
        <v>0</v>
      </c>
      <c r="K117" s="34">
        <f t="shared" si="17"/>
        <v>1.9601184801256756E-2</v>
      </c>
      <c r="L117" s="37">
        <f t="shared" si="18"/>
        <v>1.0901732824361594</v>
      </c>
      <c r="M117" s="34">
        <f t="shared" si="19"/>
        <v>5.8279954319606206</v>
      </c>
      <c r="N117" s="37">
        <f t="shared" si="20"/>
        <v>1.7911837421765229</v>
      </c>
      <c r="O117" s="37">
        <f t="shared" si="21"/>
        <v>0.82099279553242732</v>
      </c>
      <c r="P117" s="34">
        <f t="shared" si="22"/>
        <v>0.23229945313898084</v>
      </c>
      <c r="Q117" s="37"/>
      <c r="R117" s="37"/>
      <c r="S117" s="33">
        <f t="shared" si="13"/>
        <v>9.782245890045969</v>
      </c>
    </row>
    <row r="118" spans="4:19" ht="13.2" x14ac:dyDescent="0.25">
      <c r="D118" s="32">
        <v>77</v>
      </c>
      <c r="E118" s="27">
        <f t="shared" si="10"/>
        <v>0.75550736611206382</v>
      </c>
      <c r="F118" s="28">
        <f t="shared" si="11"/>
        <v>0.45997546406176992</v>
      </c>
      <c r="G118" s="29">
        <f t="shared" si="12"/>
        <v>0</v>
      </c>
      <c r="H118" s="34">
        <f t="shared" si="14"/>
        <v>0</v>
      </c>
      <c r="I118" s="34">
        <f t="shared" si="15"/>
        <v>0</v>
      </c>
      <c r="J118" s="37">
        <f t="shared" si="16"/>
        <v>0</v>
      </c>
      <c r="K118" s="34">
        <f t="shared" si="17"/>
        <v>1.9253596760377616E-2</v>
      </c>
      <c r="L118" s="37">
        <f t="shared" si="18"/>
        <v>1.1204558736149415</v>
      </c>
      <c r="M118" s="34">
        <f t="shared" si="19"/>
        <v>6.0361381259592148</v>
      </c>
      <c r="N118" s="37">
        <f t="shared" si="20"/>
        <v>1.880742929285349</v>
      </c>
      <c r="O118" s="37">
        <f t="shared" si="21"/>
        <v>0.88940886182679635</v>
      </c>
      <c r="P118" s="34">
        <f t="shared" si="22"/>
        <v>0.29037431642372608</v>
      </c>
      <c r="Q118" s="37"/>
      <c r="R118" s="37"/>
      <c r="S118" s="33">
        <f t="shared" si="13"/>
        <v>10.236373703870406</v>
      </c>
    </row>
    <row r="119" spans="4:19" ht="13.2" x14ac:dyDescent="0.25">
      <c r="D119" s="32">
        <v>78</v>
      </c>
      <c r="E119" s="27">
        <f t="shared" si="10"/>
        <v>0.76531915008754514</v>
      </c>
      <c r="F119" s="28">
        <f t="shared" si="11"/>
        <v>0.44031167028347951</v>
      </c>
      <c r="G119" s="29">
        <f t="shared" si="12"/>
        <v>0</v>
      </c>
      <c r="H119" s="34">
        <f t="shared" si="14"/>
        <v>0</v>
      </c>
      <c r="I119" s="34">
        <f t="shared" si="15"/>
        <v>0</v>
      </c>
      <c r="J119" s="37">
        <f t="shared" si="16"/>
        <v>0</v>
      </c>
      <c r="K119" s="34">
        <f t="shared" si="17"/>
        <v>1.8906008719498466E-2</v>
      </c>
      <c r="L119" s="37">
        <f t="shared" si="18"/>
        <v>1.1313721130698076</v>
      </c>
      <c r="M119" s="34">
        <f t="shared" si="19"/>
        <v>6.2442808199578073</v>
      </c>
      <c r="N119" s="37">
        <f t="shared" si="20"/>
        <v>1.970302116394175</v>
      </c>
      <c r="O119" s="37">
        <f t="shared" si="21"/>
        <v>0.95782492812116504</v>
      </c>
      <c r="P119" s="34">
        <f t="shared" si="22"/>
        <v>0.34844917970847128</v>
      </c>
      <c r="Q119" s="37"/>
      <c r="R119" s="37"/>
      <c r="S119" s="33">
        <f t="shared" si="13"/>
        <v>10.671135165970924</v>
      </c>
    </row>
    <row r="120" spans="4:19" ht="13.2" x14ac:dyDescent="0.25">
      <c r="D120" s="32">
        <v>79</v>
      </c>
      <c r="E120" s="27">
        <f t="shared" si="10"/>
        <v>0.77513093406302647</v>
      </c>
      <c r="F120" s="28">
        <f t="shared" si="11"/>
        <v>0.42064787650518909</v>
      </c>
      <c r="G120" s="29">
        <f t="shared" si="12"/>
        <v>0</v>
      </c>
      <c r="H120" s="34">
        <f t="shared" si="14"/>
        <v>0</v>
      </c>
      <c r="I120" s="34">
        <f t="shared" si="15"/>
        <v>0</v>
      </c>
      <c r="J120" s="37">
        <f t="shared" si="16"/>
        <v>0</v>
      </c>
      <c r="K120" s="34">
        <f t="shared" si="17"/>
        <v>1.8558420678619326E-2</v>
      </c>
      <c r="L120" s="37">
        <f t="shared" si="18"/>
        <v>1.1132388249388001</v>
      </c>
      <c r="M120" s="34">
        <f t="shared" si="19"/>
        <v>6.4524235139564023</v>
      </c>
      <c r="N120" s="37">
        <f t="shared" si="20"/>
        <v>2.0598613035030016</v>
      </c>
      <c r="O120" s="37">
        <f t="shared" si="21"/>
        <v>1.026240994415534</v>
      </c>
      <c r="P120" s="34">
        <f t="shared" si="22"/>
        <v>0.40652404299321643</v>
      </c>
      <c r="Q120" s="37"/>
      <c r="R120" s="37"/>
      <c r="S120" s="33">
        <f t="shared" si="13"/>
        <v>11.076847100485574</v>
      </c>
    </row>
    <row r="121" spans="4:19" ht="13.2" x14ac:dyDescent="0.25">
      <c r="D121" s="32">
        <v>80</v>
      </c>
      <c r="E121" s="27">
        <f t="shared" si="10"/>
        <v>0.78494271803850779</v>
      </c>
      <c r="F121" s="28">
        <f t="shared" si="11"/>
        <v>0.40098408272689867</v>
      </c>
      <c r="G121" s="29">
        <f t="shared" si="12"/>
        <v>0</v>
      </c>
      <c r="H121" s="34">
        <f t="shared" si="14"/>
        <v>0</v>
      </c>
      <c r="I121" s="34">
        <f t="shared" si="15"/>
        <v>0</v>
      </c>
      <c r="J121" s="37">
        <f t="shared" si="16"/>
        <v>0</v>
      </c>
      <c r="K121" s="34">
        <f t="shared" si="17"/>
        <v>1.821083263774018E-2</v>
      </c>
      <c r="L121" s="37">
        <f t="shared" si="18"/>
        <v>1.0951055368077931</v>
      </c>
      <c r="M121" s="34">
        <f t="shared" si="19"/>
        <v>6.6605662079549948</v>
      </c>
      <c r="N121" s="37">
        <f t="shared" si="20"/>
        <v>2.1494204906118277</v>
      </c>
      <c r="O121" s="37">
        <f t="shared" si="21"/>
        <v>1.0946570607099029</v>
      </c>
      <c r="P121" s="34">
        <f t="shared" si="22"/>
        <v>0.46459890627796169</v>
      </c>
      <c r="Q121" s="37">
        <f t="shared" ref="Q121:Q221" si="23">F41*$S$16</f>
        <v>0</v>
      </c>
      <c r="R121" s="37"/>
      <c r="S121" s="33">
        <f t="shared" si="13"/>
        <v>11.48255903500022</v>
      </c>
    </row>
    <row r="122" spans="4:19" ht="13.2" x14ac:dyDescent="0.25">
      <c r="D122" s="32">
        <v>81</v>
      </c>
      <c r="E122" s="27">
        <f t="shared" si="10"/>
        <v>0.79475450201398912</v>
      </c>
      <c r="F122" s="28">
        <f t="shared" si="11"/>
        <v>0.38132028894860825</v>
      </c>
      <c r="G122" s="29">
        <f t="shared" si="12"/>
        <v>0</v>
      </c>
      <c r="H122" s="34">
        <f t="shared" si="14"/>
        <v>0</v>
      </c>
      <c r="I122" s="34">
        <f t="shared" si="15"/>
        <v>0</v>
      </c>
      <c r="J122" s="37">
        <f t="shared" si="16"/>
        <v>0</v>
      </c>
      <c r="K122" s="34">
        <f t="shared" si="17"/>
        <v>1.7863244596861033E-2</v>
      </c>
      <c r="L122" s="37">
        <f t="shared" si="18"/>
        <v>1.0769722486767856</v>
      </c>
      <c r="M122" s="34">
        <f t="shared" si="19"/>
        <v>6.8687089019535881</v>
      </c>
      <c r="N122" s="37">
        <f t="shared" si="20"/>
        <v>2.2389796777206534</v>
      </c>
      <c r="O122" s="37">
        <f t="shared" si="21"/>
        <v>1.1630731270042718</v>
      </c>
      <c r="P122" s="34">
        <f t="shared" si="22"/>
        <v>0.52267376956270695</v>
      </c>
      <c r="Q122" s="37">
        <f t="shared" si="23"/>
        <v>5.1603277434569342E-2</v>
      </c>
      <c r="R122" s="37"/>
      <c r="S122" s="33">
        <f t="shared" si="13"/>
        <v>11.939874246949435</v>
      </c>
    </row>
    <row r="123" spans="4:19" ht="13.2" x14ac:dyDescent="0.25">
      <c r="D123" s="32">
        <v>82</v>
      </c>
      <c r="E123" s="27">
        <f t="shared" si="10"/>
        <v>0.80456628598947055</v>
      </c>
      <c r="F123" s="28">
        <f t="shared" si="11"/>
        <v>0.36165649517031762</v>
      </c>
      <c r="G123" s="29">
        <f t="shared" si="12"/>
        <v>0</v>
      </c>
      <c r="H123" s="34">
        <f t="shared" si="14"/>
        <v>0</v>
      </c>
      <c r="I123" s="34">
        <f t="shared" si="15"/>
        <v>0</v>
      </c>
      <c r="J123" s="37">
        <f t="shared" si="16"/>
        <v>0</v>
      </c>
      <c r="K123" s="34">
        <f t="shared" si="17"/>
        <v>1.751565655598189E-2</v>
      </c>
      <c r="L123" s="37">
        <f t="shared" si="18"/>
        <v>1.0588389605457784</v>
      </c>
      <c r="M123" s="34">
        <f t="shared" si="19"/>
        <v>7.0768515959521823</v>
      </c>
      <c r="N123" s="37">
        <f t="shared" si="20"/>
        <v>2.32853886482948</v>
      </c>
      <c r="O123" s="37">
        <f t="shared" si="21"/>
        <v>1.2314891932986409</v>
      </c>
      <c r="P123" s="34">
        <f t="shared" si="22"/>
        <v>0.58074863284745215</v>
      </c>
      <c r="Q123" s="37">
        <f t="shared" si="23"/>
        <v>0.10320655486913868</v>
      </c>
      <c r="R123" s="37"/>
      <c r="S123" s="33">
        <f t="shared" si="13"/>
        <v>12.397189458898657</v>
      </c>
    </row>
    <row r="124" spans="4:19" ht="13.2" x14ac:dyDescent="0.25">
      <c r="D124" s="32">
        <v>83</v>
      </c>
      <c r="E124" s="27">
        <f t="shared" si="10"/>
        <v>0.81437806996495188</v>
      </c>
      <c r="F124" s="28">
        <f t="shared" si="11"/>
        <v>0.3419927013920272</v>
      </c>
      <c r="G124" s="29">
        <f t="shared" si="12"/>
        <v>0</v>
      </c>
      <c r="H124" s="34">
        <f t="shared" si="14"/>
        <v>0</v>
      </c>
      <c r="I124" s="34">
        <f t="shared" si="15"/>
        <v>0</v>
      </c>
      <c r="J124" s="37">
        <f t="shared" si="16"/>
        <v>0</v>
      </c>
      <c r="K124" s="34">
        <f t="shared" si="17"/>
        <v>1.7168068515102743E-2</v>
      </c>
      <c r="L124" s="37">
        <f t="shared" si="18"/>
        <v>1.0407056724147712</v>
      </c>
      <c r="M124" s="34">
        <f t="shared" si="19"/>
        <v>7.2849942899507765</v>
      </c>
      <c r="N124" s="37">
        <f t="shared" si="20"/>
        <v>2.4180980519383057</v>
      </c>
      <c r="O124" s="37">
        <f t="shared" si="21"/>
        <v>1.2999052595930096</v>
      </c>
      <c r="P124" s="34">
        <f t="shared" si="22"/>
        <v>0.63882349613219724</v>
      </c>
      <c r="Q124" s="37">
        <f t="shared" si="23"/>
        <v>0.15480983230370804</v>
      </c>
      <c r="R124" s="37"/>
      <c r="S124" s="33">
        <f t="shared" si="13"/>
        <v>12.854504670847872</v>
      </c>
    </row>
    <row r="125" spans="4:19" ht="13.2" x14ac:dyDescent="0.25">
      <c r="D125" s="32">
        <v>84</v>
      </c>
      <c r="E125" s="27">
        <f t="shared" si="10"/>
        <v>0.8241898539404332</v>
      </c>
      <c r="F125" s="28">
        <f t="shared" si="11"/>
        <v>0.32232890761373678</v>
      </c>
      <c r="G125" s="29">
        <f t="shared" si="12"/>
        <v>0</v>
      </c>
      <c r="H125" s="34">
        <f t="shared" si="14"/>
        <v>0</v>
      </c>
      <c r="I125" s="34">
        <f t="shared" si="15"/>
        <v>0</v>
      </c>
      <c r="J125" s="37">
        <f t="shared" si="16"/>
        <v>0</v>
      </c>
      <c r="K125" s="34">
        <f t="shared" si="17"/>
        <v>1.6820480474223597E-2</v>
      </c>
      <c r="L125" s="37">
        <f t="shared" si="18"/>
        <v>1.0225723842837635</v>
      </c>
      <c r="M125" s="34">
        <f t="shared" si="19"/>
        <v>7.4931369839493707</v>
      </c>
      <c r="N125" s="37">
        <f t="shared" si="20"/>
        <v>2.5076572390471319</v>
      </c>
      <c r="O125" s="37">
        <f t="shared" si="21"/>
        <v>1.3683213258873788</v>
      </c>
      <c r="P125" s="34">
        <f t="shared" si="22"/>
        <v>0.69689835941694256</v>
      </c>
      <c r="Q125" s="37">
        <f t="shared" si="23"/>
        <v>0.20641310973827737</v>
      </c>
      <c r="R125" s="37"/>
      <c r="S125" s="33">
        <f t="shared" si="13"/>
        <v>13.311819882797089</v>
      </c>
    </row>
    <row r="126" spans="4:19" ht="13.2" x14ac:dyDescent="0.25">
      <c r="D126" s="32">
        <v>85</v>
      </c>
      <c r="E126" s="27">
        <f t="shared" si="10"/>
        <v>0.83400163791591453</v>
      </c>
      <c r="F126" s="28">
        <f t="shared" si="11"/>
        <v>0.30266511383544636</v>
      </c>
      <c r="G126" s="29">
        <f t="shared" si="12"/>
        <v>0</v>
      </c>
      <c r="H126" s="34">
        <f t="shared" si="14"/>
        <v>0</v>
      </c>
      <c r="I126" s="34">
        <f t="shared" si="15"/>
        <v>0</v>
      </c>
      <c r="J126" s="37">
        <f t="shared" si="16"/>
        <v>0</v>
      </c>
      <c r="K126" s="34">
        <f t="shared" si="17"/>
        <v>1.647289243334445E-2</v>
      </c>
      <c r="L126" s="37">
        <f t="shared" si="18"/>
        <v>1.0044390961527565</v>
      </c>
      <c r="M126" s="34">
        <f t="shared" si="19"/>
        <v>7.7012796779479631</v>
      </c>
      <c r="N126" s="37">
        <f t="shared" si="20"/>
        <v>2.597216426155958</v>
      </c>
      <c r="O126" s="37">
        <f t="shared" si="21"/>
        <v>1.4367373921817477</v>
      </c>
      <c r="P126" s="34">
        <f t="shared" si="22"/>
        <v>0.75497322270168787</v>
      </c>
      <c r="Q126" s="37">
        <f t="shared" si="23"/>
        <v>0.2580163871728467</v>
      </c>
      <c r="R126" s="37"/>
      <c r="S126" s="33">
        <f t="shared" si="13"/>
        <v>13.769135094746304</v>
      </c>
    </row>
    <row r="127" spans="4:19" ht="13.2" x14ac:dyDescent="0.25">
      <c r="D127" s="32">
        <v>86</v>
      </c>
      <c r="E127" s="27">
        <f t="shared" si="10"/>
        <v>0.84381342189139585</v>
      </c>
      <c r="F127" s="28">
        <f t="shared" si="11"/>
        <v>0.28300132005715595</v>
      </c>
      <c r="G127" s="29">
        <f t="shared" si="12"/>
        <v>0</v>
      </c>
      <c r="H127" s="34">
        <f t="shared" si="14"/>
        <v>0</v>
      </c>
      <c r="I127" s="34">
        <f t="shared" si="15"/>
        <v>0</v>
      </c>
      <c r="J127" s="37">
        <f t="shared" si="16"/>
        <v>0</v>
      </c>
      <c r="K127" s="34">
        <f t="shared" si="17"/>
        <v>1.6125304392465307E-2</v>
      </c>
      <c r="L127" s="37">
        <f t="shared" si="18"/>
        <v>0.98630580802174905</v>
      </c>
      <c r="M127" s="34">
        <f t="shared" si="19"/>
        <v>7.7763107568624257</v>
      </c>
      <c r="N127" s="37">
        <f t="shared" si="20"/>
        <v>2.6867756132647842</v>
      </c>
      <c r="O127" s="37">
        <f t="shared" si="21"/>
        <v>1.5051534584761166</v>
      </c>
      <c r="P127" s="34">
        <f t="shared" si="22"/>
        <v>0.81304808598643286</v>
      </c>
      <c r="Q127" s="37">
        <f t="shared" si="23"/>
        <v>0.30961966460741608</v>
      </c>
      <c r="R127" s="37"/>
      <c r="S127" s="33">
        <f t="shared" si="13"/>
        <v>14.09333869161139</v>
      </c>
    </row>
    <row r="128" spans="4:19" ht="13.2" x14ac:dyDescent="0.25">
      <c r="D128" s="32">
        <v>87</v>
      </c>
      <c r="E128" s="27">
        <f t="shared" si="10"/>
        <v>0.85362520586687729</v>
      </c>
      <c r="F128" s="28">
        <f t="shared" si="11"/>
        <v>0.26333752627886531</v>
      </c>
      <c r="G128" s="29">
        <f t="shared" si="12"/>
        <v>0</v>
      </c>
      <c r="H128" s="34">
        <f t="shared" si="14"/>
        <v>0</v>
      </c>
      <c r="I128" s="34">
        <f t="shared" si="15"/>
        <v>0</v>
      </c>
      <c r="J128" s="37">
        <f t="shared" si="16"/>
        <v>0</v>
      </c>
      <c r="K128" s="34">
        <f t="shared" si="17"/>
        <v>1.577771635158616E-2</v>
      </c>
      <c r="L128" s="37">
        <f t="shared" si="18"/>
        <v>0.96817251989074204</v>
      </c>
      <c r="M128" s="34">
        <f t="shared" si="19"/>
        <v>7.6516744131506913</v>
      </c>
      <c r="N128" s="37">
        <f t="shared" si="20"/>
        <v>2.7763348003736108</v>
      </c>
      <c r="O128" s="37">
        <f t="shared" si="21"/>
        <v>1.5735695247704857</v>
      </c>
      <c r="P128" s="34">
        <f t="shared" si="22"/>
        <v>0.87112294927117806</v>
      </c>
      <c r="Q128" s="37">
        <f t="shared" si="23"/>
        <v>0.36122294204198535</v>
      </c>
      <c r="R128" s="37"/>
      <c r="S128" s="33">
        <f t="shared" si="13"/>
        <v>14.21787486585028</v>
      </c>
    </row>
    <row r="129" spans="4:19" ht="13.2" x14ac:dyDescent="0.25">
      <c r="D129" s="32">
        <v>88</v>
      </c>
      <c r="E129" s="27">
        <f t="shared" si="10"/>
        <v>0.86343698984235862</v>
      </c>
      <c r="F129" s="28">
        <f t="shared" si="11"/>
        <v>0.24367373250057489</v>
      </c>
      <c r="G129" s="29">
        <f t="shared" si="12"/>
        <v>0</v>
      </c>
      <c r="H129" s="34">
        <f t="shared" si="14"/>
        <v>0</v>
      </c>
      <c r="I129" s="34">
        <f t="shared" si="15"/>
        <v>0</v>
      </c>
      <c r="J129" s="37">
        <f t="shared" si="16"/>
        <v>0</v>
      </c>
      <c r="K129" s="34">
        <f t="shared" si="17"/>
        <v>1.5430128310707017E-2</v>
      </c>
      <c r="L129" s="37">
        <f t="shared" si="18"/>
        <v>0.95003923175973448</v>
      </c>
      <c r="M129" s="34">
        <f t="shared" si="19"/>
        <v>7.5270380694389605</v>
      </c>
      <c r="N129" s="37">
        <f t="shared" si="20"/>
        <v>2.8658939874824365</v>
      </c>
      <c r="O129" s="37">
        <f t="shared" si="21"/>
        <v>1.6419855910648546</v>
      </c>
      <c r="P129" s="34">
        <f t="shared" si="22"/>
        <v>0.92919781255592337</v>
      </c>
      <c r="Q129" s="37">
        <f t="shared" si="23"/>
        <v>0.41282621947655473</v>
      </c>
      <c r="R129" s="37">
        <f t="shared" ref="R129:R229" si="24">F41*$S$17</f>
        <v>0</v>
      </c>
      <c r="S129" s="33">
        <f t="shared" si="13"/>
        <v>14.342411040089171</v>
      </c>
    </row>
    <row r="130" spans="4:19" ht="13.2" x14ac:dyDescent="0.25">
      <c r="D130" s="32">
        <v>89</v>
      </c>
      <c r="E130" s="27">
        <f t="shared" si="10"/>
        <v>0.87324877381783994</v>
      </c>
      <c r="F130" s="28">
        <f t="shared" si="11"/>
        <v>0.22400993872228447</v>
      </c>
      <c r="G130" s="29">
        <f t="shared" si="12"/>
        <v>0</v>
      </c>
      <c r="H130" s="34">
        <f t="shared" si="14"/>
        <v>0</v>
      </c>
      <c r="I130" s="34">
        <f t="shared" si="15"/>
        <v>0</v>
      </c>
      <c r="J130" s="37">
        <f t="shared" si="16"/>
        <v>0</v>
      </c>
      <c r="K130" s="34">
        <f t="shared" si="17"/>
        <v>1.5082540269827869E-2</v>
      </c>
      <c r="L130" s="37">
        <f t="shared" si="18"/>
        <v>0.93190594362872725</v>
      </c>
      <c r="M130" s="34">
        <f t="shared" si="19"/>
        <v>7.4024017257272261</v>
      </c>
      <c r="N130" s="37">
        <f t="shared" si="20"/>
        <v>2.9554531745912622</v>
      </c>
      <c r="O130" s="37">
        <f t="shared" si="21"/>
        <v>1.7104016573592233</v>
      </c>
      <c r="P130" s="34">
        <f t="shared" si="22"/>
        <v>0.98727267584066847</v>
      </c>
      <c r="Q130" s="37">
        <f t="shared" si="23"/>
        <v>0.46442949691112412</v>
      </c>
      <c r="R130" s="37">
        <f t="shared" si="24"/>
        <v>4.704182427487618E-2</v>
      </c>
      <c r="S130" s="33">
        <f t="shared" si="13"/>
        <v>14.513989038602936</v>
      </c>
    </row>
    <row r="131" spans="4:19" ht="13.2" x14ac:dyDescent="0.25">
      <c r="D131" s="32">
        <v>90</v>
      </c>
      <c r="E131" s="27">
        <f t="shared" si="10"/>
        <v>0.88306055779332127</v>
      </c>
      <c r="F131" s="28">
        <f t="shared" si="11"/>
        <v>0.20434614494399406</v>
      </c>
      <c r="G131" s="29">
        <f t="shared" si="12"/>
        <v>0</v>
      </c>
      <c r="H131" s="34">
        <f t="shared" si="14"/>
        <v>0</v>
      </c>
      <c r="I131" s="34">
        <f t="shared" si="15"/>
        <v>0</v>
      </c>
      <c r="J131" s="37">
        <f t="shared" si="16"/>
        <v>0</v>
      </c>
      <c r="K131" s="34">
        <f t="shared" si="17"/>
        <v>1.4734952228948724E-2</v>
      </c>
      <c r="L131" s="37">
        <f t="shared" si="18"/>
        <v>0.91377265549772002</v>
      </c>
      <c r="M131" s="34">
        <f t="shared" si="19"/>
        <v>7.2777653820154944</v>
      </c>
      <c r="N131" s="37">
        <f t="shared" si="20"/>
        <v>3.0450123617000888</v>
      </c>
      <c r="O131" s="37">
        <f t="shared" si="21"/>
        <v>1.7788177236535927</v>
      </c>
      <c r="P131" s="34">
        <f t="shared" si="22"/>
        <v>1.0453475391254139</v>
      </c>
      <c r="Q131" s="37">
        <f t="shared" si="23"/>
        <v>0.51603277434569339</v>
      </c>
      <c r="R131" s="37">
        <f t="shared" si="24"/>
        <v>9.4083648549752361E-2</v>
      </c>
      <c r="S131" s="33">
        <f t="shared" si="13"/>
        <v>14.685567037116705</v>
      </c>
    </row>
    <row r="132" spans="4:19" ht="13.2" x14ac:dyDescent="0.25">
      <c r="D132" s="32">
        <v>91</v>
      </c>
      <c r="E132" s="27">
        <f t="shared" si="10"/>
        <v>0.89287234176880259</v>
      </c>
      <c r="F132" s="28">
        <f t="shared" si="11"/>
        <v>0.18468235116570364</v>
      </c>
      <c r="G132" s="29">
        <f t="shared" si="12"/>
        <v>0</v>
      </c>
      <c r="H132" s="34">
        <f t="shared" si="14"/>
        <v>0</v>
      </c>
      <c r="I132" s="34">
        <f t="shared" si="15"/>
        <v>0</v>
      </c>
      <c r="J132" s="37">
        <f t="shared" si="16"/>
        <v>0</v>
      </c>
      <c r="K132" s="34">
        <f t="shared" si="17"/>
        <v>1.4387364188069579E-2</v>
      </c>
      <c r="L132" s="37">
        <f t="shared" si="18"/>
        <v>0.89563936736671268</v>
      </c>
      <c r="M132" s="34">
        <f t="shared" si="19"/>
        <v>7.1531290383037618</v>
      </c>
      <c r="N132" s="37">
        <f t="shared" si="20"/>
        <v>3.134571548808915</v>
      </c>
      <c r="O132" s="37">
        <f t="shared" si="21"/>
        <v>1.8472337899479612</v>
      </c>
      <c r="P132" s="34">
        <f t="shared" si="22"/>
        <v>1.1034224024101589</v>
      </c>
      <c r="Q132" s="37">
        <f t="shared" si="23"/>
        <v>0.56763605178026277</v>
      </c>
      <c r="R132" s="37">
        <f t="shared" si="24"/>
        <v>0.14112547282462856</v>
      </c>
      <c r="S132" s="33">
        <f t="shared" si="13"/>
        <v>14.857145035630467</v>
      </c>
    </row>
    <row r="133" spans="4:19" ht="13.2" x14ac:dyDescent="0.25">
      <c r="D133" s="38">
        <v>92</v>
      </c>
      <c r="E133" s="27">
        <f t="shared" si="10"/>
        <v>0.90268412574428403</v>
      </c>
      <c r="F133" s="28">
        <f t="shared" si="11"/>
        <v>0.16501855738741322</v>
      </c>
      <c r="G133" s="29">
        <f t="shared" si="12"/>
        <v>0</v>
      </c>
      <c r="H133" s="34">
        <f t="shared" si="14"/>
        <v>0</v>
      </c>
      <c r="I133" s="34">
        <f t="shared" si="15"/>
        <v>0</v>
      </c>
      <c r="J133" s="37">
        <f t="shared" si="16"/>
        <v>0</v>
      </c>
      <c r="K133" s="34">
        <f t="shared" si="17"/>
        <v>1.4039776147190434E-2</v>
      </c>
      <c r="L133" s="37">
        <f t="shared" si="18"/>
        <v>0.87750607923570523</v>
      </c>
      <c r="M133" s="34">
        <f t="shared" si="19"/>
        <v>7.0284926945920274</v>
      </c>
      <c r="N133" s="37">
        <f t="shared" si="20"/>
        <v>3.2241307359177416</v>
      </c>
      <c r="O133" s="37">
        <f t="shared" si="21"/>
        <v>1.9156498562423301</v>
      </c>
      <c r="P133" s="34">
        <f t="shared" si="22"/>
        <v>1.1614972656949043</v>
      </c>
      <c r="Q133" s="37">
        <f t="shared" si="23"/>
        <v>0.61923932921483216</v>
      </c>
      <c r="R133" s="37">
        <f t="shared" si="24"/>
        <v>0.18816729709950472</v>
      </c>
      <c r="S133" s="33">
        <f t="shared" si="13"/>
        <v>15.028723034144237</v>
      </c>
    </row>
    <row r="134" spans="4:19" ht="13.2" x14ac:dyDescent="0.25">
      <c r="D134" s="32">
        <v>93</v>
      </c>
      <c r="E134" s="27">
        <f t="shared" si="10"/>
        <v>0.91249590971976535</v>
      </c>
      <c r="F134" s="28">
        <f t="shared" si="11"/>
        <v>0.14535476360912281</v>
      </c>
      <c r="G134" s="29">
        <f t="shared" si="12"/>
        <v>0</v>
      </c>
      <c r="H134" s="34">
        <f t="shared" si="14"/>
        <v>0</v>
      </c>
      <c r="I134" s="34">
        <f t="shared" si="15"/>
        <v>0</v>
      </c>
      <c r="J134" s="37">
        <f t="shared" si="16"/>
        <v>0</v>
      </c>
      <c r="K134" s="34">
        <f t="shared" si="17"/>
        <v>1.3692188106311289E-2</v>
      </c>
      <c r="L134" s="37">
        <f t="shared" si="18"/>
        <v>0.859372791104698</v>
      </c>
      <c r="M134" s="34">
        <f t="shared" si="19"/>
        <v>6.9038563508802966</v>
      </c>
      <c r="N134" s="37">
        <f t="shared" si="20"/>
        <v>3.3136899230265673</v>
      </c>
      <c r="O134" s="37">
        <f t="shared" si="21"/>
        <v>1.9840659225366992</v>
      </c>
      <c r="P134" s="34">
        <f t="shared" si="22"/>
        <v>1.2195721289796495</v>
      </c>
      <c r="Q134" s="37">
        <f t="shared" si="23"/>
        <v>0.67084260664940154</v>
      </c>
      <c r="R134" s="37">
        <f t="shared" si="24"/>
        <v>0.23520912137438091</v>
      </c>
      <c r="S134" s="33">
        <f t="shared" si="13"/>
        <v>15.200301032658004</v>
      </c>
    </row>
    <row r="135" spans="4:19" ht="13.2" x14ac:dyDescent="0.25">
      <c r="D135" s="38">
        <v>94</v>
      </c>
      <c r="E135" s="27">
        <f t="shared" si="10"/>
        <v>0.92230769369524668</v>
      </c>
      <c r="F135" s="28">
        <f t="shared" si="11"/>
        <v>0.12569096983083239</v>
      </c>
      <c r="G135" s="29">
        <f t="shared" si="12"/>
        <v>0</v>
      </c>
      <c r="H135" s="34">
        <f t="shared" si="14"/>
        <v>0</v>
      </c>
      <c r="I135" s="34">
        <f t="shared" si="15"/>
        <v>0</v>
      </c>
      <c r="J135" s="37">
        <f t="shared" si="16"/>
        <v>0</v>
      </c>
      <c r="K135" s="34">
        <f t="shared" si="17"/>
        <v>1.334460006543214E-2</v>
      </c>
      <c r="L135" s="37">
        <f t="shared" si="18"/>
        <v>0.84123950297369066</v>
      </c>
      <c r="M135" s="34">
        <f t="shared" si="19"/>
        <v>6.7792200071685631</v>
      </c>
      <c r="N135" s="37">
        <f t="shared" si="20"/>
        <v>3.3459741329903472</v>
      </c>
      <c r="O135" s="37">
        <f t="shared" si="21"/>
        <v>2.0524819888310679</v>
      </c>
      <c r="P135" s="34">
        <f t="shared" si="22"/>
        <v>1.2776469922643945</v>
      </c>
      <c r="Q135" s="37">
        <f t="shared" si="23"/>
        <v>0.7224458840839707</v>
      </c>
      <c r="R135" s="37">
        <f t="shared" si="24"/>
        <v>0.28225094564925712</v>
      </c>
      <c r="S135" s="33">
        <f t="shared" si="13"/>
        <v>15.314604054026725</v>
      </c>
    </row>
    <row r="136" spans="4:19" ht="13.2" x14ac:dyDescent="0.25">
      <c r="D136" s="32">
        <v>95</v>
      </c>
      <c r="E136" s="27">
        <f t="shared" si="10"/>
        <v>0.932119477670728</v>
      </c>
      <c r="F136" s="28">
        <f t="shared" si="11"/>
        <v>0.10602717605254197</v>
      </c>
      <c r="G136" s="29">
        <f t="shared" si="12"/>
        <v>0</v>
      </c>
      <c r="H136" s="34">
        <f t="shared" si="14"/>
        <v>0</v>
      </c>
      <c r="I136" s="34">
        <f t="shared" si="15"/>
        <v>0</v>
      </c>
      <c r="J136" s="37">
        <f t="shared" si="16"/>
        <v>0</v>
      </c>
      <c r="K136" s="34">
        <f t="shared" si="17"/>
        <v>1.2997012024552996E-2</v>
      </c>
      <c r="L136" s="37">
        <f t="shared" si="18"/>
        <v>0.82310621484268343</v>
      </c>
      <c r="M136" s="34">
        <f t="shared" si="19"/>
        <v>6.6545836634568314</v>
      </c>
      <c r="N136" s="37">
        <f t="shared" si="20"/>
        <v>3.2923458772365586</v>
      </c>
      <c r="O136" s="37">
        <f t="shared" si="21"/>
        <v>2.1208980551254375</v>
      </c>
      <c r="P136" s="34">
        <f t="shared" si="22"/>
        <v>1.3357218555491399</v>
      </c>
      <c r="Q136" s="37">
        <f t="shared" si="23"/>
        <v>0.77404916151854009</v>
      </c>
      <c r="R136" s="37">
        <f t="shared" si="24"/>
        <v>0.32929276992413326</v>
      </c>
      <c r="S136" s="33">
        <f t="shared" si="13"/>
        <v>15.342994609677879</v>
      </c>
    </row>
    <row r="137" spans="4:19" ht="13.2" x14ac:dyDescent="0.25">
      <c r="D137" s="38">
        <v>96</v>
      </c>
      <c r="E137" s="27">
        <f t="shared" si="10"/>
        <v>0.94193126164620944</v>
      </c>
      <c r="F137" s="28">
        <f t="shared" si="11"/>
        <v>8.6363382274251332E-2</v>
      </c>
      <c r="G137" s="29">
        <f t="shared" si="12"/>
        <v>0</v>
      </c>
      <c r="H137" s="34">
        <f t="shared" si="14"/>
        <v>0</v>
      </c>
      <c r="I137" s="34">
        <f t="shared" si="15"/>
        <v>0</v>
      </c>
      <c r="J137" s="37">
        <f t="shared" si="16"/>
        <v>0</v>
      </c>
      <c r="K137" s="34">
        <f t="shared" si="17"/>
        <v>1.2649423983673851E-2</v>
      </c>
      <c r="L137" s="37">
        <f t="shared" si="18"/>
        <v>0.80497292671167608</v>
      </c>
      <c r="M137" s="34">
        <f t="shared" si="19"/>
        <v>6.5299473197450979</v>
      </c>
      <c r="N137" s="37">
        <f t="shared" si="20"/>
        <v>3.2387176214827713</v>
      </c>
      <c r="O137" s="37">
        <f t="shared" si="21"/>
        <v>2.1893141214198057</v>
      </c>
      <c r="P137" s="34">
        <f t="shared" si="22"/>
        <v>1.3937967188338851</v>
      </c>
      <c r="Q137" s="37">
        <f t="shared" si="23"/>
        <v>0.82565243895310947</v>
      </c>
      <c r="R137" s="37">
        <f t="shared" si="24"/>
        <v>0.37633459419900944</v>
      </c>
      <c r="S137" s="33">
        <f t="shared" si="13"/>
        <v>15.371385165329031</v>
      </c>
    </row>
    <row r="138" spans="4:19" ht="13.2" x14ac:dyDescent="0.25">
      <c r="D138" s="32">
        <v>97</v>
      </c>
      <c r="E138" s="27">
        <f t="shared" si="10"/>
        <v>0.95174304562169076</v>
      </c>
      <c r="F138" s="28">
        <f t="shared" si="11"/>
        <v>6.6699588495960915E-2</v>
      </c>
      <c r="G138" s="29">
        <f t="shared" si="12"/>
        <v>0</v>
      </c>
      <c r="H138" s="34">
        <f t="shared" si="14"/>
        <v>0</v>
      </c>
      <c r="I138" s="34">
        <f t="shared" si="15"/>
        <v>0</v>
      </c>
      <c r="J138" s="37">
        <f t="shared" si="16"/>
        <v>0</v>
      </c>
      <c r="K138" s="34">
        <f t="shared" si="17"/>
        <v>1.2301835942794706E-2</v>
      </c>
      <c r="L138" s="37">
        <f t="shared" si="18"/>
        <v>0.78683963858066863</v>
      </c>
      <c r="M138" s="34">
        <f t="shared" si="19"/>
        <v>6.4053109760333653</v>
      </c>
      <c r="N138" s="37">
        <f t="shared" si="20"/>
        <v>3.1850893657289827</v>
      </c>
      <c r="O138" s="37">
        <f t="shared" si="21"/>
        <v>2.2577301877141744</v>
      </c>
      <c r="P138" s="34">
        <f t="shared" si="22"/>
        <v>1.4518715821186301</v>
      </c>
      <c r="Q138" s="37">
        <f t="shared" si="23"/>
        <v>0.87725571638767874</v>
      </c>
      <c r="R138" s="37">
        <f t="shared" si="24"/>
        <v>0.42337641847388569</v>
      </c>
      <c r="S138" s="33">
        <f t="shared" si="13"/>
        <v>15.39977572098018</v>
      </c>
    </row>
    <row r="139" spans="4:19" ht="13.2" x14ac:dyDescent="0.25">
      <c r="D139" s="38">
        <v>98</v>
      </c>
      <c r="E139" s="27">
        <f t="shared" si="10"/>
        <v>0.96155482959717209</v>
      </c>
      <c r="F139" s="28">
        <f t="shared" si="11"/>
        <v>4.7035794717670498E-2</v>
      </c>
      <c r="G139" s="29">
        <f t="shared" si="12"/>
        <v>0</v>
      </c>
      <c r="H139" s="34">
        <f t="shared" si="14"/>
        <v>0</v>
      </c>
      <c r="I139" s="34">
        <f t="shared" si="15"/>
        <v>0</v>
      </c>
      <c r="J139" s="37">
        <f t="shared" si="16"/>
        <v>0</v>
      </c>
      <c r="K139" s="34">
        <f t="shared" si="17"/>
        <v>1.1954247901915566E-2</v>
      </c>
      <c r="L139" s="37">
        <f t="shared" si="18"/>
        <v>0.7687063504496614</v>
      </c>
      <c r="M139" s="34">
        <f t="shared" si="19"/>
        <v>6.2806746323216327</v>
      </c>
      <c r="N139" s="37">
        <f t="shared" si="20"/>
        <v>3.1314611099751946</v>
      </c>
      <c r="O139" s="37">
        <f t="shared" si="21"/>
        <v>2.3261462540085436</v>
      </c>
      <c r="P139" s="34">
        <f t="shared" si="22"/>
        <v>1.5099464454033757</v>
      </c>
      <c r="Q139" s="37">
        <f t="shared" si="23"/>
        <v>0.92885899382224824</v>
      </c>
      <c r="R139" s="37">
        <f t="shared" si="24"/>
        <v>0.47041824274876182</v>
      </c>
      <c r="S139" s="33">
        <f t="shared" si="13"/>
        <v>15.428166276631334</v>
      </c>
    </row>
    <row r="140" spans="4:19" ht="13.2" x14ac:dyDescent="0.25">
      <c r="D140" s="32">
        <v>99</v>
      </c>
      <c r="E140" s="27">
        <f t="shared" si="10"/>
        <v>0.97136661357265341</v>
      </c>
      <c r="F140" s="28">
        <f t="shared" si="11"/>
        <v>2.7372000939380081E-2</v>
      </c>
      <c r="G140" s="29">
        <f t="shared" si="12"/>
        <v>0</v>
      </c>
      <c r="H140" s="34">
        <f t="shared" si="14"/>
        <v>0</v>
      </c>
      <c r="I140" s="34">
        <f t="shared" si="15"/>
        <v>0</v>
      </c>
      <c r="J140" s="37">
        <f t="shared" si="16"/>
        <v>0</v>
      </c>
      <c r="K140" s="34">
        <f t="shared" si="17"/>
        <v>1.1606659861036418E-2</v>
      </c>
      <c r="L140" s="37">
        <f t="shared" si="18"/>
        <v>0.75057306231865406</v>
      </c>
      <c r="M140" s="34">
        <f t="shared" si="19"/>
        <v>6.1560382886099001</v>
      </c>
      <c r="N140" s="37">
        <f t="shared" si="20"/>
        <v>3.0778328542214064</v>
      </c>
      <c r="O140" s="37">
        <f t="shared" si="21"/>
        <v>2.3945623203029127</v>
      </c>
      <c r="P140" s="34">
        <f t="shared" si="22"/>
        <v>1.5680213086881207</v>
      </c>
      <c r="Q140" s="37">
        <f t="shared" si="23"/>
        <v>0.9804622712568174</v>
      </c>
      <c r="R140" s="37">
        <f t="shared" si="24"/>
        <v>0.517460067023638</v>
      </c>
      <c r="S140" s="33">
        <f t="shared" si="13"/>
        <v>15.456556832282486</v>
      </c>
    </row>
    <row r="141" spans="4:19" ht="13.2" x14ac:dyDescent="0.25">
      <c r="D141" s="15">
        <v>100</v>
      </c>
      <c r="E141" s="39">
        <f t="shared" si="10"/>
        <v>0.98117839754813474</v>
      </c>
      <c r="F141" s="36">
        <f t="shared" si="11"/>
        <v>7.7082071610896641E-3</v>
      </c>
      <c r="G141" s="29">
        <f t="shared" si="12"/>
        <v>0</v>
      </c>
      <c r="H141" s="34">
        <f t="shared" si="14"/>
        <v>0</v>
      </c>
      <c r="I141" s="34">
        <f t="shared" si="15"/>
        <v>0</v>
      </c>
      <c r="J141" s="37">
        <f t="shared" si="16"/>
        <v>0</v>
      </c>
      <c r="K141" s="34">
        <f t="shared" si="17"/>
        <v>1.1259071820157273E-2</v>
      </c>
      <c r="L141" s="37">
        <f t="shared" si="18"/>
        <v>0.73243977418764683</v>
      </c>
      <c r="M141" s="34">
        <f t="shared" si="19"/>
        <v>6.0314019448981666</v>
      </c>
      <c r="N141" s="37">
        <f t="shared" si="20"/>
        <v>3.0242045984676178</v>
      </c>
      <c r="O141" s="37">
        <f t="shared" si="21"/>
        <v>2.4629783865972819</v>
      </c>
      <c r="P141" s="34">
        <f t="shared" si="22"/>
        <v>1.6260961719728657</v>
      </c>
      <c r="Q141" s="37">
        <f t="shared" si="23"/>
        <v>1.0320655486913868</v>
      </c>
      <c r="R141" s="37">
        <f t="shared" si="24"/>
        <v>0.56450189129851425</v>
      </c>
      <c r="S141" s="33">
        <f t="shared" si="13"/>
        <v>15.484947387933637</v>
      </c>
    </row>
    <row r="142" spans="4:19" ht="13.2" x14ac:dyDescent="0.25">
      <c r="D142" s="38">
        <v>101</v>
      </c>
      <c r="E142" s="39">
        <f t="shared" si="10"/>
        <v>0.99099018152361618</v>
      </c>
      <c r="G142" s="30"/>
      <c r="H142" s="34">
        <f t="shared" si="14"/>
        <v>0</v>
      </c>
      <c r="I142" s="34">
        <f t="shared" si="15"/>
        <v>0</v>
      </c>
      <c r="J142" s="37">
        <f t="shared" si="16"/>
        <v>0</v>
      </c>
      <c r="K142" s="34">
        <f t="shared" si="17"/>
        <v>1.0911483779278128E-2</v>
      </c>
      <c r="L142" s="37">
        <f t="shared" si="18"/>
        <v>0.7143064860566396</v>
      </c>
      <c r="M142" s="34">
        <f t="shared" si="19"/>
        <v>5.906765601186434</v>
      </c>
      <c r="N142" s="37">
        <f t="shared" si="20"/>
        <v>2.9705763427138305</v>
      </c>
      <c r="O142" s="37">
        <f t="shared" si="21"/>
        <v>2.5313944528916505</v>
      </c>
      <c r="P142" s="34">
        <f t="shared" si="22"/>
        <v>1.6841710352576111</v>
      </c>
      <c r="Q142" s="37">
        <f t="shared" si="23"/>
        <v>1.0836688261259562</v>
      </c>
      <c r="R142" s="37">
        <f t="shared" si="24"/>
        <v>0.61154371557339049</v>
      </c>
      <c r="S142" s="33">
        <f t="shared" si="13"/>
        <v>15.513337943584791</v>
      </c>
    </row>
    <row r="143" spans="4:19" ht="13.2" x14ac:dyDescent="0.25">
      <c r="D143" s="32">
        <v>102</v>
      </c>
      <c r="E143" s="39">
        <f t="shared" si="10"/>
        <v>1.0008019654990974</v>
      </c>
      <c r="G143" s="30"/>
      <c r="H143" s="34">
        <f t="shared" si="14"/>
        <v>0</v>
      </c>
      <c r="I143" s="34">
        <f t="shared" si="15"/>
        <v>0</v>
      </c>
      <c r="J143" s="37">
        <f t="shared" si="16"/>
        <v>0</v>
      </c>
      <c r="K143" s="34">
        <f t="shared" si="17"/>
        <v>1.0563895738398983E-2</v>
      </c>
      <c r="L143" s="37">
        <f t="shared" si="18"/>
        <v>0.69617319792563204</v>
      </c>
      <c r="M143" s="34">
        <f t="shared" si="19"/>
        <v>5.7821292574747014</v>
      </c>
      <c r="N143" s="37">
        <f t="shared" si="20"/>
        <v>2.9169480869600419</v>
      </c>
      <c r="O143" s="37">
        <f t="shared" si="21"/>
        <v>2.5560570109211174</v>
      </c>
      <c r="P143" s="34">
        <f t="shared" si="22"/>
        <v>1.7422458985423561</v>
      </c>
      <c r="Q143" s="37">
        <f t="shared" si="23"/>
        <v>1.1352721035605255</v>
      </c>
      <c r="R143" s="37">
        <f t="shared" si="24"/>
        <v>0.65858553984826651</v>
      </c>
      <c r="S143" s="33">
        <f t="shared" si="13"/>
        <v>15.49797499097104</v>
      </c>
    </row>
    <row r="144" spans="4:19" ht="13.2" x14ac:dyDescent="0.25">
      <c r="D144" s="15">
        <v>103</v>
      </c>
      <c r="E144" s="39">
        <f t="shared" si="10"/>
        <v>1.0106137494745788</v>
      </c>
      <c r="G144" s="30"/>
      <c r="H144" s="34">
        <f t="shared" si="14"/>
        <v>0</v>
      </c>
      <c r="I144" s="34">
        <f t="shared" si="15"/>
        <v>0</v>
      </c>
      <c r="J144" s="37">
        <f t="shared" si="16"/>
        <v>0</v>
      </c>
      <c r="K144" s="34">
        <f t="shared" si="17"/>
        <v>1.0216307697519838E-2</v>
      </c>
      <c r="L144" s="37">
        <f t="shared" si="18"/>
        <v>0.67803990979462481</v>
      </c>
      <c r="M144" s="34">
        <f t="shared" si="19"/>
        <v>5.6574929137629688</v>
      </c>
      <c r="N144" s="37">
        <f t="shared" si="20"/>
        <v>2.8633198312062547</v>
      </c>
      <c r="O144" s="37">
        <f t="shared" si="21"/>
        <v>2.5150893065532314</v>
      </c>
      <c r="P144" s="34">
        <f t="shared" si="22"/>
        <v>1.8003207618271018</v>
      </c>
      <c r="Q144" s="37">
        <f t="shared" si="23"/>
        <v>1.1868753809950949</v>
      </c>
      <c r="R144" s="37">
        <f t="shared" si="24"/>
        <v>0.70562736412314264</v>
      </c>
      <c r="S144" s="33">
        <f t="shared" si="13"/>
        <v>15.416981775959938</v>
      </c>
    </row>
    <row r="145" spans="4:19" ht="13.2" x14ac:dyDescent="0.25">
      <c r="D145" s="38">
        <v>104</v>
      </c>
      <c r="E145" s="39">
        <f t="shared" si="10"/>
        <v>1.0204255334500603</v>
      </c>
      <c r="G145" s="30"/>
      <c r="H145" s="34">
        <f t="shared" si="14"/>
        <v>0</v>
      </c>
      <c r="I145" s="34">
        <f t="shared" si="15"/>
        <v>0</v>
      </c>
      <c r="J145" s="37">
        <f t="shared" si="16"/>
        <v>0</v>
      </c>
      <c r="K145" s="34">
        <f t="shared" si="17"/>
        <v>9.8687196566406895E-3</v>
      </c>
      <c r="L145" s="37">
        <f t="shared" si="18"/>
        <v>0.65990662166361758</v>
      </c>
      <c r="M145" s="34">
        <f t="shared" si="19"/>
        <v>5.5328565700512362</v>
      </c>
      <c r="N145" s="37">
        <f t="shared" si="20"/>
        <v>2.8096915754524661</v>
      </c>
      <c r="O145" s="37">
        <f t="shared" si="21"/>
        <v>2.4741216021853463</v>
      </c>
      <c r="P145" s="34">
        <f t="shared" si="22"/>
        <v>1.8583956251118467</v>
      </c>
      <c r="Q145" s="37">
        <f t="shared" si="23"/>
        <v>1.2384786584296643</v>
      </c>
      <c r="R145" s="37">
        <f t="shared" si="24"/>
        <v>0.75266918839801888</v>
      </c>
      <c r="S145" s="33">
        <f t="shared" si="13"/>
        <v>15.335988560948833</v>
      </c>
    </row>
    <row r="146" spans="4:19" ht="13.2" x14ac:dyDescent="0.25">
      <c r="D146" s="32">
        <v>105</v>
      </c>
      <c r="E146" s="39">
        <f t="shared" si="10"/>
        <v>1.0302373174255415</v>
      </c>
      <c r="G146" s="30"/>
      <c r="H146" s="34">
        <f t="shared" si="14"/>
        <v>0</v>
      </c>
      <c r="I146" s="34">
        <f t="shared" si="15"/>
        <v>0</v>
      </c>
      <c r="J146" s="37">
        <f t="shared" si="16"/>
        <v>0</v>
      </c>
      <c r="K146" s="34">
        <f t="shared" si="17"/>
        <v>9.5211316157615446E-3</v>
      </c>
      <c r="L146" s="37">
        <f t="shared" si="18"/>
        <v>0.64177333353261024</v>
      </c>
      <c r="M146" s="34">
        <f t="shared" si="19"/>
        <v>5.4082202263395027</v>
      </c>
      <c r="N146" s="37">
        <f t="shared" si="20"/>
        <v>2.7560633196986779</v>
      </c>
      <c r="O146" s="37">
        <f t="shared" si="21"/>
        <v>2.4331538978174603</v>
      </c>
      <c r="P146" s="34">
        <f t="shared" si="22"/>
        <v>1.9164704883965917</v>
      </c>
      <c r="Q146" s="37">
        <f t="shared" si="23"/>
        <v>1.2900819358642335</v>
      </c>
      <c r="R146" s="37">
        <f t="shared" si="24"/>
        <v>0.79971101267289502</v>
      </c>
      <c r="S146" s="33">
        <f t="shared" si="13"/>
        <v>15.254995345937733</v>
      </c>
    </row>
    <row r="147" spans="4:19" ht="13.2" x14ac:dyDescent="0.25">
      <c r="D147" s="15">
        <v>106</v>
      </c>
      <c r="E147" s="39">
        <f t="shared" si="10"/>
        <v>1.0400491014010229</v>
      </c>
      <c r="G147" s="30"/>
      <c r="H147" s="34">
        <f t="shared" si="14"/>
        <v>0</v>
      </c>
      <c r="I147" s="34">
        <f t="shared" si="15"/>
        <v>0</v>
      </c>
      <c r="J147" s="37">
        <f t="shared" si="16"/>
        <v>0</v>
      </c>
      <c r="K147" s="34">
        <f t="shared" si="17"/>
        <v>9.1735435748823996E-3</v>
      </c>
      <c r="L147" s="37">
        <f t="shared" si="18"/>
        <v>0.62364004540160323</v>
      </c>
      <c r="M147" s="34">
        <f t="shared" si="19"/>
        <v>5.2835838826277701</v>
      </c>
      <c r="N147" s="37">
        <f t="shared" si="20"/>
        <v>2.7024350639448897</v>
      </c>
      <c r="O147" s="37">
        <f t="shared" si="21"/>
        <v>2.3921861934495747</v>
      </c>
      <c r="P147" s="34">
        <f t="shared" si="22"/>
        <v>1.9745453516813369</v>
      </c>
      <c r="Q147" s="37">
        <f t="shared" si="23"/>
        <v>1.3416852132988031</v>
      </c>
      <c r="R147" s="37">
        <f t="shared" si="24"/>
        <v>0.84675283694777137</v>
      </c>
      <c r="S147" s="33">
        <f t="shared" si="13"/>
        <v>15.174002130926633</v>
      </c>
    </row>
    <row r="148" spans="4:19" ht="13.2" x14ac:dyDescent="0.25">
      <c r="D148" s="38">
        <v>107</v>
      </c>
      <c r="E148" s="39">
        <f t="shared" si="10"/>
        <v>1.0498608853765041</v>
      </c>
      <c r="G148" s="30"/>
      <c r="H148" s="34">
        <f t="shared" si="14"/>
        <v>0</v>
      </c>
      <c r="I148" s="34">
        <f t="shared" si="15"/>
        <v>0</v>
      </c>
      <c r="J148" s="37">
        <f t="shared" si="16"/>
        <v>0</v>
      </c>
      <c r="K148" s="34">
        <f t="shared" si="17"/>
        <v>8.8259555340032547E-3</v>
      </c>
      <c r="L148" s="37">
        <f t="shared" si="18"/>
        <v>0.60550675727059566</v>
      </c>
      <c r="M148" s="34">
        <f t="shared" si="19"/>
        <v>5.1589475389160375</v>
      </c>
      <c r="N148" s="37">
        <f t="shared" si="20"/>
        <v>2.648806808191102</v>
      </c>
      <c r="O148" s="37">
        <f t="shared" si="21"/>
        <v>2.3512184890816896</v>
      </c>
      <c r="P148" s="34">
        <f t="shared" si="22"/>
        <v>2.0326202149660824</v>
      </c>
      <c r="Q148" s="37">
        <f t="shared" si="23"/>
        <v>1.3932884907333722</v>
      </c>
      <c r="R148" s="37">
        <f t="shared" si="24"/>
        <v>0.89379466122264739</v>
      </c>
      <c r="S148" s="33">
        <f t="shared" si="13"/>
        <v>15.093008915915531</v>
      </c>
    </row>
    <row r="149" spans="4:19" ht="13.2" x14ac:dyDescent="0.25">
      <c r="D149" s="32">
        <v>108</v>
      </c>
      <c r="E149" s="39">
        <f t="shared" si="10"/>
        <v>1.0596726693519856</v>
      </c>
      <c r="G149" s="30"/>
      <c r="H149" s="34">
        <f t="shared" si="14"/>
        <v>0</v>
      </c>
      <c r="I149" s="34">
        <f t="shared" si="15"/>
        <v>0</v>
      </c>
      <c r="J149" s="37">
        <f t="shared" si="16"/>
        <v>0</v>
      </c>
      <c r="K149" s="34">
        <f t="shared" si="17"/>
        <v>8.4783674931241098E-3</v>
      </c>
      <c r="L149" s="37">
        <f t="shared" si="18"/>
        <v>0.58737346913958843</v>
      </c>
      <c r="M149" s="34">
        <f t="shared" si="19"/>
        <v>5.0343111952043049</v>
      </c>
      <c r="N149" s="37">
        <f t="shared" si="20"/>
        <v>2.5951785524373134</v>
      </c>
      <c r="O149" s="37">
        <f t="shared" si="21"/>
        <v>2.3102507847138036</v>
      </c>
      <c r="P149" s="34">
        <f t="shared" si="22"/>
        <v>2.0906950782508278</v>
      </c>
      <c r="Q149" s="37">
        <f t="shared" si="23"/>
        <v>1.4448917681679414</v>
      </c>
      <c r="R149" s="37">
        <f t="shared" si="24"/>
        <v>0.94083648549752363</v>
      </c>
      <c r="S149" s="33">
        <f t="shared" si="13"/>
        <v>15.012015700904429</v>
      </c>
    </row>
    <row r="150" spans="4:19" ht="13.2" x14ac:dyDescent="0.25">
      <c r="D150" s="15">
        <v>109</v>
      </c>
      <c r="E150" s="39">
        <f t="shared" si="10"/>
        <v>1.069484453327467</v>
      </c>
      <c r="G150" s="30"/>
      <c r="H150" s="34"/>
      <c r="I150" s="34">
        <f t="shared" si="15"/>
        <v>0</v>
      </c>
      <c r="J150" s="37">
        <f t="shared" si="16"/>
        <v>0</v>
      </c>
      <c r="K150" s="34">
        <f t="shared" si="17"/>
        <v>8.1307794522449614E-3</v>
      </c>
      <c r="L150" s="37">
        <f t="shared" si="18"/>
        <v>0.5692401810085812</v>
      </c>
      <c r="M150" s="34">
        <f t="shared" si="19"/>
        <v>4.9096748514925732</v>
      </c>
      <c r="N150" s="37">
        <f t="shared" si="20"/>
        <v>2.5415502966835253</v>
      </c>
      <c r="O150" s="37">
        <f t="shared" si="21"/>
        <v>2.2692830803459185</v>
      </c>
      <c r="P150" s="34">
        <f t="shared" si="22"/>
        <v>2.1487699415355728</v>
      </c>
      <c r="Q150" s="37">
        <f t="shared" si="23"/>
        <v>1.496495045602511</v>
      </c>
      <c r="R150" s="37">
        <f t="shared" si="24"/>
        <v>0.98787830977239988</v>
      </c>
      <c r="S150" s="33">
        <f t="shared" si="13"/>
        <v>14.931022485893326</v>
      </c>
    </row>
    <row r="151" spans="4:19" ht="13.2" x14ac:dyDescent="0.25">
      <c r="D151" s="38">
        <v>110</v>
      </c>
      <c r="E151" s="39">
        <f t="shared" si="10"/>
        <v>1.0792962373029482</v>
      </c>
      <c r="G151" s="30"/>
      <c r="H151" s="34"/>
      <c r="I151" s="34">
        <f t="shared" si="15"/>
        <v>0</v>
      </c>
      <c r="J151" s="37">
        <f t="shared" si="16"/>
        <v>0</v>
      </c>
      <c r="K151" s="34">
        <f t="shared" si="17"/>
        <v>7.7831914113658173E-3</v>
      </c>
      <c r="L151" s="37">
        <f t="shared" si="18"/>
        <v>0.55110689287757386</v>
      </c>
      <c r="M151" s="34">
        <f t="shared" si="19"/>
        <v>4.7850385077808388</v>
      </c>
      <c r="N151" s="37">
        <f t="shared" si="20"/>
        <v>2.4879220409297371</v>
      </c>
      <c r="O151" s="37">
        <f t="shared" si="21"/>
        <v>2.2283153759780325</v>
      </c>
      <c r="P151" s="34">
        <f t="shared" si="22"/>
        <v>2.1697047126118698</v>
      </c>
      <c r="Q151" s="37">
        <f t="shared" si="23"/>
        <v>1.5480983230370802</v>
      </c>
      <c r="R151" s="37">
        <f t="shared" si="24"/>
        <v>1.034920134047276</v>
      </c>
      <c r="S151" s="33">
        <f t="shared" si="13"/>
        <v>14.812889178673775</v>
      </c>
    </row>
    <row r="152" spans="4:19" ht="13.2" x14ac:dyDescent="0.25">
      <c r="D152" s="32">
        <v>111</v>
      </c>
      <c r="E152" s="39">
        <f t="shared" si="10"/>
        <v>1.0891080212784296</v>
      </c>
      <c r="G152" s="30"/>
      <c r="H152" s="30"/>
      <c r="I152" s="34">
        <f t="shared" si="15"/>
        <v>0</v>
      </c>
      <c r="J152" s="37">
        <f t="shared" si="16"/>
        <v>0</v>
      </c>
      <c r="K152" s="34">
        <f t="shared" si="17"/>
        <v>7.4356033704866724E-3</v>
      </c>
      <c r="L152" s="37">
        <f t="shared" si="18"/>
        <v>0.53297360474656663</v>
      </c>
      <c r="M152" s="34">
        <f t="shared" si="19"/>
        <v>4.6604021640691062</v>
      </c>
      <c r="N152" s="37">
        <f t="shared" si="20"/>
        <v>2.4342937851759494</v>
      </c>
      <c r="O152" s="37">
        <f t="shared" si="21"/>
        <v>2.1873476716101474</v>
      </c>
      <c r="P152" s="34">
        <f t="shared" si="22"/>
        <v>2.1349293453754949</v>
      </c>
      <c r="Q152" s="37">
        <f t="shared" si="23"/>
        <v>1.5997016004716498</v>
      </c>
      <c r="R152" s="37">
        <f t="shared" si="24"/>
        <v>1.0819619583221523</v>
      </c>
      <c r="S152" s="33">
        <f t="shared" si="13"/>
        <v>14.639045733141552</v>
      </c>
    </row>
    <row r="153" spans="4:19" ht="13.2" x14ac:dyDescent="0.25">
      <c r="D153" s="15">
        <v>112</v>
      </c>
      <c r="E153" s="39">
        <f t="shared" si="10"/>
        <v>1.0989198052539109</v>
      </c>
      <c r="G153" s="30"/>
      <c r="H153" s="30"/>
      <c r="I153" s="34">
        <f t="shared" si="15"/>
        <v>0</v>
      </c>
      <c r="J153" s="37">
        <f t="shared" si="16"/>
        <v>0</v>
      </c>
      <c r="K153" s="34">
        <f t="shared" si="17"/>
        <v>7.0880153296075275E-3</v>
      </c>
      <c r="L153" s="37">
        <f t="shared" si="18"/>
        <v>0.51484031661555918</v>
      </c>
      <c r="M153" s="34">
        <f t="shared" si="19"/>
        <v>4.5357658203573736</v>
      </c>
      <c r="N153" s="37">
        <f t="shared" si="20"/>
        <v>2.3806655294221613</v>
      </c>
      <c r="O153" s="37">
        <f t="shared" si="21"/>
        <v>2.1463799672422614</v>
      </c>
      <c r="P153" s="34">
        <f t="shared" si="22"/>
        <v>2.1001539781391214</v>
      </c>
      <c r="Q153" s="37">
        <f t="shared" si="23"/>
        <v>1.6513048779062189</v>
      </c>
      <c r="R153" s="37">
        <f t="shared" si="24"/>
        <v>1.1290037825970285</v>
      </c>
      <c r="S153" s="33">
        <f t="shared" si="13"/>
        <v>14.465202287609332</v>
      </c>
    </row>
    <row r="154" spans="4:19" ht="13.2" x14ac:dyDescent="0.25">
      <c r="D154" s="38">
        <v>113</v>
      </c>
      <c r="E154" s="39">
        <f t="shared" si="10"/>
        <v>1.1087315892293923</v>
      </c>
      <c r="G154" s="30"/>
      <c r="H154" s="30"/>
      <c r="I154" s="34">
        <f t="shared" si="15"/>
        <v>0</v>
      </c>
      <c r="J154" s="37">
        <f t="shared" si="16"/>
        <v>0</v>
      </c>
      <c r="K154" s="34">
        <f t="shared" si="17"/>
        <v>6.7404272887283826E-3</v>
      </c>
      <c r="L154" s="37">
        <f t="shared" si="18"/>
        <v>0.49670702848455189</v>
      </c>
      <c r="M154" s="34">
        <f t="shared" si="19"/>
        <v>4.4111294766456419</v>
      </c>
      <c r="N154" s="37">
        <f t="shared" si="20"/>
        <v>2.3270372736683727</v>
      </c>
      <c r="O154" s="37">
        <f t="shared" si="21"/>
        <v>2.1054122628743759</v>
      </c>
      <c r="P154" s="34">
        <f t="shared" si="22"/>
        <v>2.0653786109027465</v>
      </c>
      <c r="Q154" s="37">
        <f t="shared" si="23"/>
        <v>1.7029081553407881</v>
      </c>
      <c r="R154" s="37">
        <f t="shared" si="24"/>
        <v>1.1760456068719045</v>
      </c>
      <c r="S154" s="33">
        <f t="shared" si="13"/>
        <v>14.291358842077109</v>
      </c>
    </row>
    <row r="155" spans="4:19" ht="13.2" x14ac:dyDescent="0.25">
      <c r="D155" s="32">
        <v>114</v>
      </c>
      <c r="E155" s="39">
        <f t="shared" si="10"/>
        <v>1.1185433732048737</v>
      </c>
      <c r="G155" s="30"/>
      <c r="H155" s="30"/>
      <c r="I155" s="34">
        <f t="shared" si="15"/>
        <v>0</v>
      </c>
      <c r="J155" s="37">
        <f t="shared" si="16"/>
        <v>0</v>
      </c>
      <c r="K155" s="34">
        <f t="shared" si="17"/>
        <v>6.3928392478492342E-3</v>
      </c>
      <c r="L155" s="37">
        <f t="shared" si="18"/>
        <v>0.47857374035354461</v>
      </c>
      <c r="M155" s="34">
        <f t="shared" si="19"/>
        <v>4.2864931329339102</v>
      </c>
      <c r="N155" s="37">
        <f t="shared" si="20"/>
        <v>2.2734090179145845</v>
      </c>
      <c r="O155" s="37">
        <f t="shared" si="21"/>
        <v>2.0644445585064903</v>
      </c>
      <c r="P155" s="34">
        <f t="shared" si="22"/>
        <v>2.0306032436663721</v>
      </c>
      <c r="Q155" s="37">
        <f t="shared" si="23"/>
        <v>1.7545114327753575</v>
      </c>
      <c r="R155" s="37">
        <f t="shared" si="24"/>
        <v>1.223087431146781</v>
      </c>
      <c r="S155" s="33">
        <f t="shared" si="13"/>
        <v>14.117515396544889</v>
      </c>
    </row>
    <row r="156" spans="4:19" ht="13.2" x14ac:dyDescent="0.25">
      <c r="D156" s="15">
        <v>115</v>
      </c>
      <c r="E156" s="39">
        <f t="shared" si="10"/>
        <v>1.128355157180355</v>
      </c>
      <c r="G156" s="30"/>
      <c r="H156" s="30"/>
      <c r="I156" s="34">
        <f t="shared" si="15"/>
        <v>0</v>
      </c>
      <c r="J156" s="37">
        <f t="shared" si="16"/>
        <v>0</v>
      </c>
      <c r="K156" s="34">
        <f t="shared" si="17"/>
        <v>6.0452512069700893E-3</v>
      </c>
      <c r="L156" s="37">
        <f t="shared" si="18"/>
        <v>0.46044045222253732</v>
      </c>
      <c r="M156" s="34">
        <f t="shared" si="19"/>
        <v>4.1618567892221767</v>
      </c>
      <c r="N156" s="37">
        <f t="shared" si="20"/>
        <v>2.2197807621607963</v>
      </c>
      <c r="O156" s="37">
        <f t="shared" si="21"/>
        <v>2.0234768541386048</v>
      </c>
      <c r="P156" s="34">
        <f t="shared" si="22"/>
        <v>1.9958278764299979</v>
      </c>
      <c r="Q156" s="37">
        <f t="shared" si="23"/>
        <v>1.8061147102099271</v>
      </c>
      <c r="R156" s="37">
        <f t="shared" si="24"/>
        <v>1.270129255421657</v>
      </c>
      <c r="S156" s="33">
        <f t="shared" si="13"/>
        <v>13.943671951012668</v>
      </c>
    </row>
    <row r="157" spans="4:19" ht="13.2" x14ac:dyDescent="0.25">
      <c r="D157" s="38">
        <v>116</v>
      </c>
      <c r="E157" s="39">
        <f t="shared" si="10"/>
        <v>1.1381669411558364</v>
      </c>
      <c r="G157" s="30"/>
      <c r="H157" s="30"/>
      <c r="I157" s="34">
        <f t="shared" si="15"/>
        <v>0</v>
      </c>
      <c r="J157" s="37">
        <f t="shared" si="16"/>
        <v>0</v>
      </c>
      <c r="K157" s="34">
        <f t="shared" si="17"/>
        <v>5.6976631660909452E-3</v>
      </c>
      <c r="L157" s="37">
        <f t="shared" si="18"/>
        <v>0.44230716409153004</v>
      </c>
      <c r="M157" s="34">
        <f t="shared" si="19"/>
        <v>4.0372204455104441</v>
      </c>
      <c r="N157" s="37">
        <f t="shared" si="20"/>
        <v>2.1661525064070086</v>
      </c>
      <c r="O157" s="37">
        <f t="shared" si="21"/>
        <v>1.9825091497707188</v>
      </c>
      <c r="P157" s="34">
        <f t="shared" si="22"/>
        <v>1.9610525091936233</v>
      </c>
      <c r="Q157" s="37">
        <f t="shared" si="23"/>
        <v>1.8577179876444965</v>
      </c>
      <c r="R157" s="37">
        <f t="shared" si="24"/>
        <v>1.317171079696533</v>
      </c>
      <c r="S157" s="33">
        <f t="shared" si="13"/>
        <v>13.769828505480444</v>
      </c>
    </row>
    <row r="158" spans="4:19" ht="13.2" x14ac:dyDescent="0.25">
      <c r="D158" s="32">
        <v>117</v>
      </c>
      <c r="E158" s="39">
        <f t="shared" si="10"/>
        <v>1.1479787251313176</v>
      </c>
      <c r="G158" s="30"/>
      <c r="H158" s="30"/>
      <c r="I158" s="34"/>
      <c r="J158" s="37">
        <f t="shared" si="16"/>
        <v>0</v>
      </c>
      <c r="K158" s="34">
        <f t="shared" si="17"/>
        <v>5.3500751252118003E-3</v>
      </c>
      <c r="L158" s="37">
        <f t="shared" si="18"/>
        <v>0.42417387596052258</v>
      </c>
      <c r="M158" s="34">
        <f t="shared" si="19"/>
        <v>3.9125841017987115</v>
      </c>
      <c r="N158" s="37">
        <f t="shared" si="20"/>
        <v>2.1125242506532205</v>
      </c>
      <c r="O158" s="37">
        <f t="shared" si="21"/>
        <v>1.9415414454028332</v>
      </c>
      <c r="P158" s="34">
        <f t="shared" si="22"/>
        <v>1.9262771419572493</v>
      </c>
      <c r="Q158" s="37">
        <f t="shared" si="23"/>
        <v>1.9093212650790656</v>
      </c>
      <c r="R158" s="37">
        <f t="shared" si="24"/>
        <v>1.3642129039714093</v>
      </c>
      <c r="S158" s="33">
        <f t="shared" si="13"/>
        <v>13.595985059948223</v>
      </c>
    </row>
    <row r="159" spans="4:19" ht="13.2" x14ac:dyDescent="0.25">
      <c r="D159" s="15">
        <v>118</v>
      </c>
      <c r="E159" s="39">
        <f t="shared" si="10"/>
        <v>1.157790509106799</v>
      </c>
      <c r="G159" s="30"/>
      <c r="H159" s="30"/>
      <c r="I159" s="34"/>
      <c r="J159" s="37">
        <f t="shared" si="16"/>
        <v>0</v>
      </c>
      <c r="K159" s="34">
        <f t="shared" si="17"/>
        <v>5.0024870843326553E-3</v>
      </c>
      <c r="L159" s="37">
        <f t="shared" si="18"/>
        <v>0.4060405878295153</v>
      </c>
      <c r="M159" s="34">
        <f t="shared" si="19"/>
        <v>3.7879477580869794</v>
      </c>
      <c r="N159" s="37">
        <f t="shared" si="20"/>
        <v>2.0588959948994319</v>
      </c>
      <c r="O159" s="37">
        <f t="shared" si="21"/>
        <v>1.9005737410349477</v>
      </c>
      <c r="P159" s="34">
        <f t="shared" si="22"/>
        <v>1.8915017747208744</v>
      </c>
      <c r="Q159" s="37">
        <f t="shared" si="23"/>
        <v>1.9279231650884132</v>
      </c>
      <c r="R159" s="37">
        <f t="shared" si="24"/>
        <v>1.4112547282462853</v>
      </c>
      <c r="S159" s="33">
        <f t="shared" si="13"/>
        <v>13.389140236990782</v>
      </c>
    </row>
    <row r="160" spans="4:19" ht="13.2" x14ac:dyDescent="0.25">
      <c r="D160" s="38">
        <v>119</v>
      </c>
      <c r="E160" s="39">
        <f t="shared" si="10"/>
        <v>1.1676022930822805</v>
      </c>
      <c r="G160" s="30"/>
      <c r="H160" s="30"/>
      <c r="I160" s="34"/>
      <c r="J160" s="37">
        <f t="shared" si="16"/>
        <v>0</v>
      </c>
      <c r="K160" s="34">
        <f t="shared" si="17"/>
        <v>4.654899043453507E-3</v>
      </c>
      <c r="L160" s="37">
        <f t="shared" si="18"/>
        <v>0.38790729969850801</v>
      </c>
      <c r="M160" s="34">
        <f t="shared" si="19"/>
        <v>3.6633114143752468</v>
      </c>
      <c r="N160" s="37">
        <f t="shared" si="20"/>
        <v>2.0052677391456437</v>
      </c>
      <c r="O160" s="37">
        <f t="shared" si="21"/>
        <v>1.8596060366670624</v>
      </c>
      <c r="P160" s="34">
        <f t="shared" si="22"/>
        <v>1.8567264074845007</v>
      </c>
      <c r="Q160" s="37">
        <f t="shared" si="23"/>
        <v>1.8970229989599283</v>
      </c>
      <c r="R160" s="37">
        <f t="shared" si="24"/>
        <v>1.4582965525211617</v>
      </c>
      <c r="S160" s="33">
        <f t="shared" si="13"/>
        <v>13.132793347895506</v>
      </c>
    </row>
    <row r="161" spans="4:19" ht="13.2" x14ac:dyDescent="0.25">
      <c r="D161" s="32">
        <v>120</v>
      </c>
      <c r="E161" s="39">
        <f t="shared" si="10"/>
        <v>1.1774140770577617</v>
      </c>
      <c r="G161" s="30"/>
      <c r="H161" s="30"/>
      <c r="I161" s="34"/>
      <c r="J161" s="37">
        <f t="shared" si="16"/>
        <v>0</v>
      </c>
      <c r="K161" s="34">
        <f t="shared" si="17"/>
        <v>4.307311002574362E-3</v>
      </c>
      <c r="L161" s="37">
        <f t="shared" si="18"/>
        <v>0.36977401156750078</v>
      </c>
      <c r="M161" s="34">
        <f t="shared" si="19"/>
        <v>3.5386750706635128</v>
      </c>
      <c r="N161" s="37">
        <f t="shared" si="20"/>
        <v>1.9516394833918558</v>
      </c>
      <c r="O161" s="37">
        <f t="shared" si="21"/>
        <v>1.8186383322991768</v>
      </c>
      <c r="P161" s="34">
        <f t="shared" si="22"/>
        <v>1.8219510402481258</v>
      </c>
      <c r="Q161" s="37">
        <f t="shared" si="23"/>
        <v>1.8661228328314441</v>
      </c>
      <c r="R161" s="37">
        <f t="shared" si="24"/>
        <v>1.5053383767960378</v>
      </c>
      <c r="S161" s="33">
        <f t="shared" si="13"/>
        <v>12.876446458800228</v>
      </c>
    </row>
    <row r="162" spans="4:19" ht="13.2" x14ac:dyDescent="0.25">
      <c r="D162" s="15">
        <v>121</v>
      </c>
      <c r="E162" s="39">
        <f t="shared" si="10"/>
        <v>1.1872258610332431</v>
      </c>
      <c r="G162" s="30"/>
      <c r="H162" s="30"/>
      <c r="I162" s="30"/>
      <c r="J162" s="37">
        <f t="shared" si="16"/>
        <v>0</v>
      </c>
      <c r="K162" s="34">
        <f t="shared" si="17"/>
        <v>3.9597229616952171E-3</v>
      </c>
      <c r="L162" s="37">
        <f t="shared" si="18"/>
        <v>0.3516407234364935</v>
      </c>
      <c r="M162" s="34">
        <f t="shared" si="19"/>
        <v>3.4140387269517802</v>
      </c>
      <c r="N162" s="37">
        <f t="shared" si="20"/>
        <v>1.8980112276380678</v>
      </c>
      <c r="O162" s="37">
        <f t="shared" si="21"/>
        <v>1.7776706279312908</v>
      </c>
      <c r="P162" s="34">
        <f t="shared" si="22"/>
        <v>1.7871756730117516</v>
      </c>
      <c r="Q162" s="37">
        <f t="shared" si="23"/>
        <v>1.835222666702959</v>
      </c>
      <c r="R162" s="37">
        <f t="shared" si="24"/>
        <v>1.5523802010709138</v>
      </c>
      <c r="S162" s="33">
        <f t="shared" si="13"/>
        <v>12.620099569704953</v>
      </c>
    </row>
    <row r="163" spans="4:19" ht="13.2" x14ac:dyDescent="0.25">
      <c r="D163" s="38">
        <v>122</v>
      </c>
      <c r="E163" s="39">
        <f t="shared" si="10"/>
        <v>1.1970376450087243</v>
      </c>
      <c r="G163" s="30"/>
      <c r="H163" s="30"/>
      <c r="I163" s="30"/>
      <c r="J163" s="37">
        <f t="shared" si="16"/>
        <v>0</v>
      </c>
      <c r="K163" s="34">
        <f t="shared" si="17"/>
        <v>3.6121349208160726E-3</v>
      </c>
      <c r="L163" s="37">
        <f t="shared" si="18"/>
        <v>0.33350743530548599</v>
      </c>
      <c r="M163" s="34">
        <f t="shared" si="19"/>
        <v>3.2894023832400481</v>
      </c>
      <c r="N163" s="37">
        <f t="shared" si="20"/>
        <v>1.8443829718842806</v>
      </c>
      <c r="O163" s="37">
        <f t="shared" si="21"/>
        <v>1.7367029235634053</v>
      </c>
      <c r="P163" s="34">
        <f t="shared" si="22"/>
        <v>1.7524003057753772</v>
      </c>
      <c r="Q163" s="37">
        <f t="shared" si="23"/>
        <v>1.8043225005744745</v>
      </c>
      <c r="R163" s="37">
        <f t="shared" si="24"/>
        <v>1.59942202534579</v>
      </c>
      <c r="S163" s="33">
        <f t="shared" si="13"/>
        <v>12.363752680609679</v>
      </c>
    </row>
    <row r="164" spans="4:19" ht="13.2" x14ac:dyDescent="0.25">
      <c r="D164" s="32">
        <v>123</v>
      </c>
      <c r="E164" s="39">
        <f t="shared" si="10"/>
        <v>1.2068494289842058</v>
      </c>
      <c r="G164" s="30"/>
      <c r="H164" s="30"/>
      <c r="I164" s="30"/>
      <c r="J164" s="37">
        <f t="shared" si="16"/>
        <v>0</v>
      </c>
      <c r="K164" s="34">
        <f t="shared" si="17"/>
        <v>3.2645468799369281E-3</v>
      </c>
      <c r="L164" s="37">
        <f t="shared" si="18"/>
        <v>0.31537414717447876</v>
      </c>
      <c r="M164" s="34">
        <f t="shared" si="19"/>
        <v>3.1647660395283155</v>
      </c>
      <c r="N164" s="37">
        <f t="shared" si="20"/>
        <v>1.7907547161304918</v>
      </c>
      <c r="O164" s="37">
        <f t="shared" si="21"/>
        <v>1.6957352191955197</v>
      </c>
      <c r="P164" s="34">
        <f t="shared" si="22"/>
        <v>1.717624938539003</v>
      </c>
      <c r="Q164" s="37">
        <f t="shared" si="23"/>
        <v>1.7734223344459898</v>
      </c>
      <c r="R164" s="37">
        <f t="shared" si="24"/>
        <v>1.6464638496206665</v>
      </c>
      <c r="S164" s="33">
        <f t="shared" si="13"/>
        <v>12.107405791514401</v>
      </c>
    </row>
    <row r="165" spans="4:19" ht="13.2" x14ac:dyDescent="0.25">
      <c r="D165" s="15">
        <v>124</v>
      </c>
      <c r="E165" s="39">
        <f t="shared" si="10"/>
        <v>1.2166612129596872</v>
      </c>
      <c r="G165" s="30"/>
      <c r="H165" s="30"/>
      <c r="I165" s="30"/>
      <c r="J165" s="37">
        <f t="shared" si="16"/>
        <v>0</v>
      </c>
      <c r="K165" s="34">
        <f t="shared" si="17"/>
        <v>2.9169588390577832E-3</v>
      </c>
      <c r="L165" s="37">
        <f t="shared" si="18"/>
        <v>0.29724085904347147</v>
      </c>
      <c r="M165" s="34">
        <f t="shared" si="19"/>
        <v>3.0401296958165829</v>
      </c>
      <c r="N165" s="37">
        <f t="shared" si="20"/>
        <v>1.7371264603767038</v>
      </c>
      <c r="O165" s="37">
        <f t="shared" si="21"/>
        <v>1.6547675148276342</v>
      </c>
      <c r="P165" s="34">
        <f t="shared" si="22"/>
        <v>1.6828495713026284</v>
      </c>
      <c r="Q165" s="37">
        <f t="shared" si="23"/>
        <v>1.7425221683175049</v>
      </c>
      <c r="R165" s="37">
        <f t="shared" si="24"/>
        <v>1.6935056738955427</v>
      </c>
      <c r="S165" s="33">
        <f t="shared" si="13"/>
        <v>11.851058902419126</v>
      </c>
    </row>
    <row r="166" spans="4:19" ht="13.2" x14ac:dyDescent="0.25">
      <c r="D166" s="38">
        <v>125</v>
      </c>
      <c r="E166" s="39">
        <f t="shared" si="10"/>
        <v>1.2264729969351684</v>
      </c>
      <c r="G166" s="30"/>
      <c r="H166" s="30"/>
      <c r="I166" s="30"/>
      <c r="J166" s="30"/>
      <c r="K166" s="34">
        <f t="shared" si="17"/>
        <v>2.5693707981786387E-3</v>
      </c>
      <c r="L166" s="37">
        <f t="shared" si="18"/>
        <v>0.27910757091246419</v>
      </c>
      <c r="M166" s="34">
        <f t="shared" si="19"/>
        <v>2.9154933521048489</v>
      </c>
      <c r="N166" s="37">
        <f t="shared" si="20"/>
        <v>1.6834982046229159</v>
      </c>
      <c r="O166" s="37">
        <f t="shared" si="21"/>
        <v>1.6137998104597486</v>
      </c>
      <c r="P166" s="34">
        <f t="shared" si="22"/>
        <v>1.6480742040662539</v>
      </c>
      <c r="Q166" s="37">
        <f t="shared" si="23"/>
        <v>1.7116220021890207</v>
      </c>
      <c r="R166" s="37">
        <f t="shared" si="24"/>
        <v>1.7405474981704188</v>
      </c>
      <c r="S166" s="33">
        <f t="shared" si="13"/>
        <v>11.59471201332385</v>
      </c>
    </row>
    <row r="167" spans="4:19" ht="13.2" x14ac:dyDescent="0.25">
      <c r="D167" s="32">
        <v>126</v>
      </c>
      <c r="E167" s="39">
        <f t="shared" si="10"/>
        <v>1.2362847809106499</v>
      </c>
      <c r="G167" s="30"/>
      <c r="H167" s="30"/>
      <c r="I167" s="30"/>
      <c r="J167" s="30"/>
      <c r="K167" s="34">
        <f t="shared" si="17"/>
        <v>2.2217827572994938E-3</v>
      </c>
      <c r="L167" s="37">
        <f t="shared" si="18"/>
        <v>0.2609742827814569</v>
      </c>
      <c r="M167" s="34">
        <f t="shared" si="19"/>
        <v>2.7908570083931168</v>
      </c>
      <c r="N167" s="37">
        <f t="shared" si="20"/>
        <v>1.6298699488691277</v>
      </c>
      <c r="O167" s="37">
        <f t="shared" si="21"/>
        <v>1.5728321060918626</v>
      </c>
      <c r="P167" s="34">
        <f t="shared" si="22"/>
        <v>1.6132988368298797</v>
      </c>
      <c r="Q167" s="37">
        <f t="shared" si="23"/>
        <v>1.6807218360605358</v>
      </c>
      <c r="R167" s="37">
        <f t="shared" si="24"/>
        <v>1.7575050899150146</v>
      </c>
      <c r="S167" s="33">
        <f t="shared" si="13"/>
        <v>11.308280891698294</v>
      </c>
    </row>
    <row r="168" spans="4:19" ht="13.2" x14ac:dyDescent="0.25">
      <c r="D168" s="15">
        <v>127</v>
      </c>
      <c r="E168" s="39">
        <f t="shared" si="10"/>
        <v>1.2460965648861311</v>
      </c>
      <c r="G168" s="30"/>
      <c r="H168" s="30"/>
      <c r="I168" s="30"/>
      <c r="J168" s="30"/>
      <c r="K168" s="34">
        <f t="shared" si="17"/>
        <v>1.8741947164203491E-3</v>
      </c>
      <c r="L168" s="37">
        <f t="shared" si="18"/>
        <v>0.24284099465044945</v>
      </c>
      <c r="M168" s="34">
        <f t="shared" si="19"/>
        <v>2.6662206646813842</v>
      </c>
      <c r="N168" s="37">
        <f t="shared" si="20"/>
        <v>1.5762416931153398</v>
      </c>
      <c r="O168" s="37">
        <f t="shared" si="21"/>
        <v>1.5318644017239773</v>
      </c>
      <c r="P168" s="34">
        <f t="shared" si="22"/>
        <v>1.5785234695935053</v>
      </c>
      <c r="Q168" s="37">
        <f t="shared" si="23"/>
        <v>1.6498216699320516</v>
      </c>
      <c r="R168" s="37">
        <f t="shared" si="24"/>
        <v>1.7293363328641902</v>
      </c>
      <c r="S168" s="33">
        <f t="shared" si="13"/>
        <v>10.976723421277317</v>
      </c>
    </row>
    <row r="169" spans="4:19" ht="13.2" x14ac:dyDescent="0.25">
      <c r="D169" s="38">
        <v>128</v>
      </c>
      <c r="E169" s="39">
        <f t="shared" si="10"/>
        <v>1.2559083488616125</v>
      </c>
      <c r="G169" s="30"/>
      <c r="H169" s="30"/>
      <c r="I169" s="30"/>
      <c r="J169" s="30"/>
      <c r="K169" s="34">
        <f t="shared" si="17"/>
        <v>1.5266066755412005E-3</v>
      </c>
      <c r="L169" s="37">
        <f t="shared" si="18"/>
        <v>0.22470770651944216</v>
      </c>
      <c r="M169" s="34">
        <f t="shared" si="19"/>
        <v>2.5415843209696516</v>
      </c>
      <c r="N169" s="37">
        <f t="shared" si="20"/>
        <v>1.5226134373615512</v>
      </c>
      <c r="O169" s="37">
        <f t="shared" si="21"/>
        <v>1.4908966973560918</v>
      </c>
      <c r="P169" s="34">
        <f t="shared" si="22"/>
        <v>1.5437481023571311</v>
      </c>
      <c r="Q169" s="37">
        <f t="shared" si="23"/>
        <v>1.6189215038035667</v>
      </c>
      <c r="R169" s="37">
        <f t="shared" si="24"/>
        <v>1.7011675758133666</v>
      </c>
      <c r="S169" s="33">
        <f t="shared" si="13"/>
        <v>10.645165950856343</v>
      </c>
    </row>
    <row r="170" spans="4:19" ht="13.2" x14ac:dyDescent="0.25">
      <c r="D170" s="32">
        <v>129</v>
      </c>
      <c r="E170" s="39">
        <f t="shared" si="10"/>
        <v>1.2657201328370939</v>
      </c>
      <c r="G170" s="30"/>
      <c r="H170" s="30"/>
      <c r="I170" s="30"/>
      <c r="J170" s="30"/>
      <c r="K170" s="34">
        <f t="shared" si="17"/>
        <v>1.1790186346620558E-3</v>
      </c>
      <c r="L170" s="37">
        <f t="shared" si="18"/>
        <v>0.20657441838843491</v>
      </c>
      <c r="M170" s="34">
        <f t="shared" si="19"/>
        <v>2.416947977257919</v>
      </c>
      <c r="N170" s="37">
        <f t="shared" si="20"/>
        <v>1.4689851816077633</v>
      </c>
      <c r="O170" s="37">
        <f t="shared" si="21"/>
        <v>1.4499289929882062</v>
      </c>
      <c r="P170" s="34">
        <f t="shared" si="22"/>
        <v>1.5089727351207562</v>
      </c>
      <c r="Q170" s="37">
        <f t="shared" si="23"/>
        <v>1.588021337675082</v>
      </c>
      <c r="R170" s="37">
        <f t="shared" si="24"/>
        <v>1.6729988187625422</v>
      </c>
      <c r="S170" s="33">
        <f t="shared" si="13"/>
        <v>10.313608480435365</v>
      </c>
    </row>
    <row r="171" spans="4:19" ht="13.2" x14ac:dyDescent="0.25">
      <c r="D171" s="15">
        <v>130</v>
      </c>
      <c r="E171" s="39">
        <f t="shared" si="10"/>
        <v>1.2755319168125752</v>
      </c>
      <c r="G171" s="30"/>
      <c r="H171" s="30"/>
      <c r="I171" s="30"/>
      <c r="J171" s="30"/>
      <c r="K171" s="34">
        <f t="shared" si="17"/>
        <v>8.3143059378291094E-4</v>
      </c>
      <c r="L171" s="37">
        <f t="shared" si="18"/>
        <v>0.18844113025742762</v>
      </c>
      <c r="M171" s="34">
        <f t="shared" si="19"/>
        <v>2.2923116335461855</v>
      </c>
      <c r="N171" s="37">
        <f t="shared" si="20"/>
        <v>1.4153569258539751</v>
      </c>
      <c r="O171" s="37">
        <f t="shared" si="21"/>
        <v>1.4089612886203211</v>
      </c>
      <c r="P171" s="34">
        <f t="shared" si="22"/>
        <v>1.474197367884382</v>
      </c>
      <c r="Q171" s="37">
        <f t="shared" si="23"/>
        <v>1.5571211715465976</v>
      </c>
      <c r="R171" s="37">
        <f t="shared" si="24"/>
        <v>1.6448300617117182</v>
      </c>
      <c r="S171" s="33">
        <f t="shared" si="13"/>
        <v>9.9820510100143913</v>
      </c>
    </row>
    <row r="172" spans="4:19" ht="13.2" x14ac:dyDescent="0.25">
      <c r="D172" s="38">
        <v>131</v>
      </c>
      <c r="E172" s="39">
        <f t="shared" si="10"/>
        <v>1.2853437007880566</v>
      </c>
      <c r="G172" s="30"/>
      <c r="H172" s="30"/>
      <c r="I172" s="30"/>
      <c r="J172" s="30"/>
      <c r="K172" s="34">
        <f t="shared" si="17"/>
        <v>4.8384255290376629E-4</v>
      </c>
      <c r="L172" s="37">
        <f t="shared" si="18"/>
        <v>0.17030784212642033</v>
      </c>
      <c r="M172" s="34">
        <f t="shared" si="19"/>
        <v>2.1676752898344529</v>
      </c>
      <c r="N172" s="37">
        <f t="shared" si="20"/>
        <v>1.3617286701001872</v>
      </c>
      <c r="O172" s="37">
        <f t="shared" si="21"/>
        <v>1.3679935842524351</v>
      </c>
      <c r="P172" s="34">
        <f t="shared" si="22"/>
        <v>1.4394220006480076</v>
      </c>
      <c r="Q172" s="37">
        <f t="shared" si="23"/>
        <v>1.5262210054181129</v>
      </c>
      <c r="R172" s="37">
        <f t="shared" si="24"/>
        <v>1.6166613046608942</v>
      </c>
      <c r="S172" s="33">
        <f t="shared" si="13"/>
        <v>9.6504935395934144</v>
      </c>
    </row>
    <row r="173" spans="4:19" ht="13.2" x14ac:dyDescent="0.25">
      <c r="D173" s="32">
        <v>132</v>
      </c>
      <c r="E173" s="39">
        <f t="shared" si="10"/>
        <v>1.2951554847635378</v>
      </c>
      <c r="G173" s="30"/>
      <c r="H173" s="30"/>
      <c r="I173" s="30"/>
      <c r="J173" s="30"/>
      <c r="K173" s="34">
        <f t="shared" si="17"/>
        <v>1.3625451202462155E-4</v>
      </c>
      <c r="L173" s="37">
        <f t="shared" si="18"/>
        <v>0.15217455399541308</v>
      </c>
      <c r="M173" s="34">
        <f t="shared" si="19"/>
        <v>2.0430389461227203</v>
      </c>
      <c r="N173" s="37">
        <f t="shared" si="20"/>
        <v>1.3081004143463992</v>
      </c>
      <c r="O173" s="37">
        <f t="shared" si="21"/>
        <v>1.3270258798845496</v>
      </c>
      <c r="P173" s="34">
        <f t="shared" si="22"/>
        <v>1.4046466334116334</v>
      </c>
      <c r="Q173" s="37">
        <f t="shared" si="23"/>
        <v>1.495320839289628</v>
      </c>
      <c r="R173" s="37">
        <f t="shared" si="24"/>
        <v>1.58849254761007</v>
      </c>
      <c r="S173" s="33">
        <f t="shared" si="13"/>
        <v>9.3189360691724374</v>
      </c>
    </row>
    <row r="174" spans="4:19" ht="13.2" x14ac:dyDescent="0.25">
      <c r="D174" s="15">
        <v>133</v>
      </c>
      <c r="E174" s="39">
        <f t="shared" si="10"/>
        <v>1.3049672687390192</v>
      </c>
      <c r="G174" s="30"/>
      <c r="H174" s="30"/>
      <c r="I174" s="30"/>
      <c r="J174" s="30"/>
      <c r="K174" s="30"/>
      <c r="L174" s="37">
        <f t="shared" si="18"/>
        <v>0.13404126586440579</v>
      </c>
      <c r="M174" s="34">
        <f t="shared" si="19"/>
        <v>1.9184026024109879</v>
      </c>
      <c r="N174" s="37">
        <f t="shared" si="20"/>
        <v>1.2544721585926104</v>
      </c>
      <c r="O174" s="37">
        <f t="shared" si="21"/>
        <v>1.286058175516664</v>
      </c>
      <c r="P174" s="34">
        <f t="shared" si="22"/>
        <v>1.369871266175259</v>
      </c>
      <c r="Q174" s="37">
        <f t="shared" si="23"/>
        <v>1.4644206731611433</v>
      </c>
      <c r="R174" s="37">
        <f t="shared" si="24"/>
        <v>1.5603237905592462</v>
      </c>
      <c r="S174" s="33">
        <f t="shared" si="13"/>
        <v>8.9875899322803168</v>
      </c>
    </row>
    <row r="175" spans="4:19" ht="13.2" x14ac:dyDescent="0.25">
      <c r="D175" s="38">
        <v>134</v>
      </c>
      <c r="E175" s="39">
        <f t="shared" si="10"/>
        <v>1.3147790527145007</v>
      </c>
      <c r="G175" s="30"/>
      <c r="H175" s="30"/>
      <c r="I175" s="30"/>
      <c r="J175" s="30"/>
      <c r="K175" s="30"/>
      <c r="L175" s="37">
        <f t="shared" si="18"/>
        <v>0.11590797773339853</v>
      </c>
      <c r="M175" s="34">
        <f t="shared" si="19"/>
        <v>1.7937662586992553</v>
      </c>
      <c r="N175" s="37">
        <f t="shared" si="20"/>
        <v>1.2008439028388225</v>
      </c>
      <c r="O175" s="37">
        <f t="shared" si="21"/>
        <v>1.2450904711487787</v>
      </c>
      <c r="P175" s="34">
        <f t="shared" si="22"/>
        <v>1.3350958989388844</v>
      </c>
      <c r="Q175" s="37">
        <f t="shared" si="23"/>
        <v>1.4335205070326589</v>
      </c>
      <c r="R175" s="37">
        <f t="shared" si="24"/>
        <v>1.532155033508422</v>
      </c>
      <c r="S175" s="33">
        <f t="shared" si="13"/>
        <v>8.6563800499002195</v>
      </c>
    </row>
    <row r="176" spans="4:19" ht="13.2" x14ac:dyDescent="0.25">
      <c r="D176" s="32">
        <v>135</v>
      </c>
      <c r="E176" s="39">
        <f t="shared" si="10"/>
        <v>1.3245908366899819</v>
      </c>
      <c r="G176" s="30"/>
      <c r="H176" s="30"/>
      <c r="I176" s="30"/>
      <c r="J176" s="30"/>
      <c r="K176" s="30"/>
      <c r="L176" s="37">
        <f t="shared" si="18"/>
        <v>9.777468960239126E-2</v>
      </c>
      <c r="M176" s="34">
        <f t="shared" si="19"/>
        <v>1.6691299149875216</v>
      </c>
      <c r="N176" s="37">
        <f t="shared" si="20"/>
        <v>1.1472156470850345</v>
      </c>
      <c r="O176" s="37">
        <f t="shared" si="21"/>
        <v>1.2041227667808931</v>
      </c>
      <c r="P176" s="34">
        <f t="shared" si="22"/>
        <v>1.3003205317025099</v>
      </c>
      <c r="Q176" s="37">
        <f t="shared" si="23"/>
        <v>1.4026203409041742</v>
      </c>
      <c r="R176" s="37">
        <f t="shared" si="24"/>
        <v>1.5039862764575982</v>
      </c>
      <c r="S176" s="33">
        <f t="shared" si="13"/>
        <v>8.3251701675201222</v>
      </c>
    </row>
    <row r="177" spans="4:19" ht="13.2" x14ac:dyDescent="0.25">
      <c r="D177" s="15">
        <v>136</v>
      </c>
      <c r="E177" s="39">
        <f t="shared" si="10"/>
        <v>1.3344026206654633</v>
      </c>
      <c r="G177" s="30"/>
      <c r="H177" s="30"/>
      <c r="I177" s="30"/>
      <c r="J177" s="30"/>
      <c r="K177" s="30"/>
      <c r="L177" s="37">
        <f t="shared" si="18"/>
        <v>7.964140147138378E-2</v>
      </c>
      <c r="M177" s="34">
        <f t="shared" si="19"/>
        <v>1.544493571275789</v>
      </c>
      <c r="N177" s="37">
        <f t="shared" si="20"/>
        <v>1.0935873913312464</v>
      </c>
      <c r="O177" s="37">
        <f t="shared" si="21"/>
        <v>1.1631550624130071</v>
      </c>
      <c r="P177" s="34">
        <f t="shared" si="22"/>
        <v>1.2655451644661357</v>
      </c>
      <c r="Q177" s="37">
        <f t="shared" si="23"/>
        <v>1.3717201747756897</v>
      </c>
      <c r="R177" s="37">
        <f t="shared" si="24"/>
        <v>1.475817519406774</v>
      </c>
      <c r="S177" s="33">
        <f t="shared" si="13"/>
        <v>7.9939602851400249</v>
      </c>
    </row>
    <row r="178" spans="4:19" ht="13.2" x14ac:dyDescent="0.25">
      <c r="D178" s="38">
        <v>137</v>
      </c>
      <c r="E178" s="39">
        <f t="shared" si="10"/>
        <v>1.3442144046409445</v>
      </c>
      <c r="G178" s="30"/>
      <c r="H178" s="30"/>
      <c r="I178" s="30"/>
      <c r="J178" s="30"/>
      <c r="K178" s="30"/>
      <c r="L178" s="37">
        <f t="shared" si="18"/>
        <v>6.1508113340376501E-2</v>
      </c>
      <c r="M178" s="34">
        <f t="shared" si="19"/>
        <v>1.4198572275640566</v>
      </c>
      <c r="N178" s="37">
        <f t="shared" si="20"/>
        <v>1.0399591355774584</v>
      </c>
      <c r="O178" s="37">
        <f t="shared" si="21"/>
        <v>1.1221873580451216</v>
      </c>
      <c r="P178" s="34">
        <f t="shared" si="22"/>
        <v>1.2307697972297613</v>
      </c>
      <c r="Q178" s="37">
        <f t="shared" si="23"/>
        <v>1.3408200086472046</v>
      </c>
      <c r="R178" s="37">
        <f t="shared" si="24"/>
        <v>1.4476487623559497</v>
      </c>
      <c r="S178" s="33">
        <f t="shared" si="13"/>
        <v>7.6627504027599294</v>
      </c>
    </row>
    <row r="179" spans="4:19" ht="13.2" x14ac:dyDescent="0.25">
      <c r="D179" s="32">
        <v>138</v>
      </c>
      <c r="E179" s="39">
        <f t="shared" si="10"/>
        <v>1.354026188616426</v>
      </c>
      <c r="G179" s="30"/>
      <c r="H179" s="30"/>
      <c r="I179" s="30"/>
      <c r="J179" s="30"/>
      <c r="K179" s="30"/>
      <c r="L179" s="37">
        <f t="shared" si="18"/>
        <v>4.3374825209369229E-2</v>
      </c>
      <c r="M179" s="34">
        <f t="shared" si="19"/>
        <v>1.295220883852324</v>
      </c>
      <c r="N179" s="37">
        <f t="shared" si="20"/>
        <v>0.98633087982366985</v>
      </c>
      <c r="O179" s="37">
        <f t="shared" si="21"/>
        <v>1.081219653677236</v>
      </c>
      <c r="P179" s="34">
        <f t="shared" si="22"/>
        <v>1.1959944299933876</v>
      </c>
      <c r="Q179" s="37">
        <f t="shared" si="23"/>
        <v>1.3099198425187202</v>
      </c>
      <c r="R179" s="37">
        <f t="shared" si="24"/>
        <v>1.4194800053051257</v>
      </c>
      <c r="S179" s="33">
        <f t="shared" si="13"/>
        <v>7.3315405203798321</v>
      </c>
    </row>
    <row r="180" spans="4:19" ht="13.2" x14ac:dyDescent="0.25">
      <c r="D180" s="15">
        <v>139</v>
      </c>
      <c r="E180" s="39">
        <f t="shared" si="10"/>
        <v>1.3638379725919074</v>
      </c>
      <c r="G180" s="30"/>
      <c r="H180" s="30"/>
      <c r="I180" s="30"/>
      <c r="J180" s="30"/>
      <c r="K180" s="30"/>
      <c r="L180" s="37">
        <f t="shared" si="18"/>
        <v>2.5241537078361957E-2</v>
      </c>
      <c r="M180" s="34">
        <f t="shared" si="19"/>
        <v>1.1705845401405917</v>
      </c>
      <c r="N180" s="37">
        <f t="shared" si="20"/>
        <v>0.9327026240698818</v>
      </c>
      <c r="O180" s="37">
        <f t="shared" si="21"/>
        <v>1.0402519493093505</v>
      </c>
      <c r="P180" s="34">
        <f t="shared" si="22"/>
        <v>1.1612190627570127</v>
      </c>
      <c r="Q180" s="37">
        <f t="shared" si="23"/>
        <v>1.2790196763902355</v>
      </c>
      <c r="R180" s="37">
        <f t="shared" si="24"/>
        <v>1.3913112482543017</v>
      </c>
      <c r="S180" s="33">
        <f t="shared" si="13"/>
        <v>7.0003306379997357</v>
      </c>
    </row>
    <row r="181" spans="4:19" ht="13.2" x14ac:dyDescent="0.25">
      <c r="D181" s="38">
        <v>140</v>
      </c>
      <c r="E181" s="39">
        <f t="shared" si="10"/>
        <v>1.3736497565673886</v>
      </c>
      <c r="G181" s="30"/>
      <c r="H181" s="30"/>
      <c r="I181" s="30"/>
      <c r="J181" s="30"/>
      <c r="K181" s="30"/>
      <c r="L181" s="37">
        <f t="shared" si="18"/>
        <v>7.1082489473546853E-3</v>
      </c>
      <c r="M181" s="34">
        <f t="shared" si="19"/>
        <v>1.0459481964288593</v>
      </c>
      <c r="N181" s="37">
        <f t="shared" si="20"/>
        <v>0.87907436831609387</v>
      </c>
      <c r="O181" s="37">
        <f t="shared" si="21"/>
        <v>0.99928424494146506</v>
      </c>
      <c r="P181" s="34">
        <f t="shared" si="22"/>
        <v>1.1264436955206385</v>
      </c>
      <c r="Q181" s="37">
        <f t="shared" si="23"/>
        <v>1.2481195102617511</v>
      </c>
      <c r="R181" s="37">
        <f t="shared" si="24"/>
        <v>1.3631424912034775</v>
      </c>
      <c r="S181" s="33">
        <f t="shared" si="13"/>
        <v>6.6691207556196401</v>
      </c>
    </row>
    <row r="182" spans="4:19" ht="13.2" x14ac:dyDescent="0.25">
      <c r="D182" s="32">
        <v>141</v>
      </c>
      <c r="E182" s="39">
        <f t="shared" si="10"/>
        <v>1.3834615405428701</v>
      </c>
      <c r="G182" s="30"/>
      <c r="H182" s="30"/>
      <c r="I182" s="30"/>
      <c r="J182" s="30"/>
      <c r="K182" s="30"/>
      <c r="L182" s="30"/>
      <c r="M182" s="34">
        <f t="shared" si="19"/>
        <v>0.92131185271712668</v>
      </c>
      <c r="N182" s="37">
        <f t="shared" si="20"/>
        <v>0.82544611256230582</v>
      </c>
      <c r="O182" s="37">
        <f t="shared" si="21"/>
        <v>0.95831654057357907</v>
      </c>
      <c r="P182" s="34">
        <f t="shared" si="22"/>
        <v>1.0916683282842641</v>
      </c>
      <c r="Q182" s="37">
        <f t="shared" si="23"/>
        <v>1.2172193441332664</v>
      </c>
      <c r="R182" s="37">
        <f t="shared" si="24"/>
        <v>1.3349737341526535</v>
      </c>
      <c r="S182" s="33">
        <f t="shared" si="13"/>
        <v>6.3489359124231957</v>
      </c>
    </row>
    <row r="183" spans="4:19" ht="13.2" x14ac:dyDescent="0.25">
      <c r="D183" s="15">
        <v>142</v>
      </c>
      <c r="E183" s="39">
        <f t="shared" si="10"/>
        <v>1.3932733245183513</v>
      </c>
      <c r="G183" s="30"/>
      <c r="H183" s="30"/>
      <c r="I183" s="30"/>
      <c r="J183" s="30"/>
      <c r="K183" s="30"/>
      <c r="L183" s="30"/>
      <c r="M183" s="34">
        <f t="shared" si="19"/>
        <v>0.79667550900539419</v>
      </c>
      <c r="N183" s="37">
        <f t="shared" si="20"/>
        <v>0.77181785680851778</v>
      </c>
      <c r="O183" s="37">
        <f t="shared" si="21"/>
        <v>0.91734883620569352</v>
      </c>
      <c r="P183" s="34">
        <f t="shared" si="22"/>
        <v>1.0568929610478899</v>
      </c>
      <c r="Q183" s="37">
        <f t="shared" si="23"/>
        <v>1.1863191780047815</v>
      </c>
      <c r="R183" s="37">
        <f t="shared" si="24"/>
        <v>1.3068049771018295</v>
      </c>
      <c r="S183" s="33">
        <f t="shared" si="13"/>
        <v>6.035859318174106</v>
      </c>
    </row>
    <row r="184" spans="4:19" ht="13.2" x14ac:dyDescent="0.25">
      <c r="D184" s="38">
        <v>143</v>
      </c>
      <c r="E184" s="39">
        <f t="shared" si="10"/>
        <v>1.4030851084938327</v>
      </c>
      <c r="G184" s="30"/>
      <c r="H184" s="30"/>
      <c r="I184" s="30"/>
      <c r="J184" s="30"/>
      <c r="K184" s="30"/>
      <c r="L184" s="30"/>
      <c r="M184" s="34">
        <f t="shared" si="19"/>
        <v>0.67203916529366181</v>
      </c>
      <c r="N184" s="37">
        <f t="shared" si="20"/>
        <v>0.71818960105472918</v>
      </c>
      <c r="O184" s="37">
        <f t="shared" si="21"/>
        <v>0.87638113183780797</v>
      </c>
      <c r="P184" s="34">
        <f t="shared" si="22"/>
        <v>1.0221175938115155</v>
      </c>
      <c r="Q184" s="37">
        <f t="shared" si="23"/>
        <v>1.1554190118762968</v>
      </c>
      <c r="R184" s="37">
        <f t="shared" si="24"/>
        <v>1.2786362200510055</v>
      </c>
      <c r="S184" s="33">
        <f t="shared" si="13"/>
        <v>5.7227827239250164</v>
      </c>
    </row>
    <row r="185" spans="4:19" ht="13.2" x14ac:dyDescent="0.25">
      <c r="D185" s="32">
        <v>144</v>
      </c>
      <c r="E185" s="39">
        <f t="shared" si="10"/>
        <v>1.4128968924693142</v>
      </c>
      <c r="G185" s="30"/>
      <c r="H185" s="30"/>
      <c r="I185" s="30"/>
      <c r="J185" s="30"/>
      <c r="K185" s="30"/>
      <c r="L185" s="30"/>
      <c r="M185" s="34">
        <f t="shared" si="19"/>
        <v>0.54740282158192788</v>
      </c>
      <c r="N185" s="37">
        <f t="shared" si="20"/>
        <v>0.66456134530094113</v>
      </c>
      <c r="O185" s="37">
        <f t="shared" si="21"/>
        <v>0.83541342746992253</v>
      </c>
      <c r="P185" s="34">
        <f t="shared" si="22"/>
        <v>0.98734222657514081</v>
      </c>
      <c r="Q185" s="37">
        <f t="shared" si="23"/>
        <v>1.1245188457478124</v>
      </c>
      <c r="R185" s="37">
        <f t="shared" si="24"/>
        <v>1.2504674630001815</v>
      </c>
      <c r="S185" s="33">
        <f t="shared" si="13"/>
        <v>5.4097061296759259</v>
      </c>
    </row>
    <row r="186" spans="4:19" ht="13.2" x14ac:dyDescent="0.25">
      <c r="D186" s="15">
        <v>145</v>
      </c>
      <c r="E186" s="39">
        <f t="shared" si="10"/>
        <v>1.4227086764447954</v>
      </c>
      <c r="G186" s="30"/>
      <c r="H186" s="30"/>
      <c r="I186" s="30"/>
      <c r="J186" s="30"/>
      <c r="K186" s="30"/>
      <c r="L186" s="30"/>
      <c r="M186" s="34">
        <f t="shared" si="19"/>
        <v>0.42276647787019539</v>
      </c>
      <c r="N186" s="37">
        <f t="shared" si="20"/>
        <v>0.6109330895471532</v>
      </c>
      <c r="O186" s="37">
        <f t="shared" si="21"/>
        <v>0.79444572310203698</v>
      </c>
      <c r="P186" s="34">
        <f t="shared" si="22"/>
        <v>0.9525668593387665</v>
      </c>
      <c r="Q186" s="37">
        <f t="shared" si="23"/>
        <v>1.0936186796193277</v>
      </c>
      <c r="R186" s="37">
        <f t="shared" si="24"/>
        <v>1.2222987059493571</v>
      </c>
      <c r="S186" s="33">
        <f t="shared" si="13"/>
        <v>5.0966295354268372</v>
      </c>
    </row>
    <row r="187" spans="4:19" ht="13.2" x14ac:dyDescent="0.25">
      <c r="D187" s="38">
        <v>146</v>
      </c>
      <c r="E187" s="39">
        <f t="shared" si="10"/>
        <v>1.4325204604202768</v>
      </c>
      <c r="G187" s="30"/>
      <c r="H187" s="30"/>
      <c r="I187" s="30"/>
      <c r="J187" s="30"/>
      <c r="K187" s="30"/>
      <c r="L187" s="30"/>
      <c r="M187" s="34">
        <f t="shared" si="19"/>
        <v>0.29813013415846296</v>
      </c>
      <c r="N187" s="37">
        <f t="shared" si="20"/>
        <v>0.55730483379336515</v>
      </c>
      <c r="O187" s="37">
        <f t="shared" si="21"/>
        <v>0.75347801873415099</v>
      </c>
      <c r="P187" s="34">
        <f t="shared" si="22"/>
        <v>0.91779149210239219</v>
      </c>
      <c r="Q187" s="37">
        <f t="shared" si="23"/>
        <v>1.0627185134908435</v>
      </c>
      <c r="R187" s="37">
        <f t="shared" si="24"/>
        <v>1.1941299488985331</v>
      </c>
      <c r="S187" s="33">
        <f t="shared" si="13"/>
        <v>4.7835529411777475</v>
      </c>
    </row>
    <row r="188" spans="4:19" ht="13.2" x14ac:dyDescent="0.25">
      <c r="D188" s="32">
        <v>147</v>
      </c>
      <c r="E188" s="39">
        <f t="shared" si="10"/>
        <v>1.442332244395758</v>
      </c>
      <c r="G188" s="30"/>
      <c r="H188" s="30"/>
      <c r="I188" s="30"/>
      <c r="J188" s="30"/>
      <c r="K188" s="30"/>
      <c r="L188" s="30"/>
      <c r="M188" s="34">
        <f t="shared" si="19"/>
        <v>0.17349379044673047</v>
      </c>
      <c r="N188" s="37">
        <f t="shared" si="20"/>
        <v>0.50367657803957711</v>
      </c>
      <c r="O188" s="37">
        <f t="shared" si="21"/>
        <v>0.71251031436626544</v>
      </c>
      <c r="P188" s="34">
        <f t="shared" si="22"/>
        <v>0.88301612486601788</v>
      </c>
      <c r="Q188" s="37">
        <f t="shared" si="23"/>
        <v>1.0318183473623586</v>
      </c>
      <c r="R188" s="37">
        <f t="shared" si="24"/>
        <v>1.1659611918477091</v>
      </c>
      <c r="S188" s="33">
        <f t="shared" si="13"/>
        <v>4.4704763469286579</v>
      </c>
    </row>
    <row r="189" spans="4:19" ht="13.2" x14ac:dyDescent="0.25">
      <c r="D189" s="15">
        <v>148</v>
      </c>
      <c r="E189" s="39">
        <f t="shared" si="10"/>
        <v>1.4521440283712395</v>
      </c>
      <c r="G189" s="30"/>
      <c r="H189" s="30"/>
      <c r="I189" s="30"/>
      <c r="J189" s="30"/>
      <c r="K189" s="30"/>
      <c r="L189" s="30"/>
      <c r="M189" s="34">
        <f t="shared" si="19"/>
        <v>4.8857446734997992E-2</v>
      </c>
      <c r="N189" s="37">
        <f t="shared" si="20"/>
        <v>0.45004832228578912</v>
      </c>
      <c r="O189" s="37">
        <f t="shared" si="21"/>
        <v>0.67154260999838</v>
      </c>
      <c r="P189" s="34">
        <f t="shared" si="22"/>
        <v>0.84824075762964357</v>
      </c>
      <c r="Q189" s="37">
        <f t="shared" si="23"/>
        <v>1.0009181812338739</v>
      </c>
      <c r="R189" s="37">
        <f t="shared" si="24"/>
        <v>1.1377924347968851</v>
      </c>
      <c r="S189" s="33">
        <f t="shared" si="13"/>
        <v>4.1573997526795692</v>
      </c>
    </row>
    <row r="190" spans="4:19" ht="13.2" x14ac:dyDescent="0.25">
      <c r="D190" s="38">
        <v>149</v>
      </c>
      <c r="E190" s="39">
        <f t="shared" si="10"/>
        <v>1.4619558123467209</v>
      </c>
      <c r="G190" s="30"/>
      <c r="H190" s="30"/>
      <c r="I190" s="30"/>
      <c r="J190" s="30"/>
      <c r="K190" s="30"/>
      <c r="L190" s="30"/>
      <c r="M190" s="30"/>
      <c r="N190" s="37">
        <f t="shared" si="20"/>
        <v>0.39642006653200113</v>
      </c>
      <c r="O190" s="37">
        <f t="shared" si="21"/>
        <v>0.63057490563049445</v>
      </c>
      <c r="P190" s="34">
        <f t="shared" si="22"/>
        <v>0.81346539039326882</v>
      </c>
      <c r="Q190" s="37">
        <f t="shared" si="23"/>
        <v>0.97001801510538943</v>
      </c>
      <c r="R190" s="37">
        <f t="shared" si="24"/>
        <v>1.1096236777460611</v>
      </c>
      <c r="S190" s="33">
        <f t="shared" si="13"/>
        <v>3.9201020554072148</v>
      </c>
    </row>
    <row r="191" spans="4:19" ht="13.2" x14ac:dyDescent="0.25">
      <c r="D191" s="32">
        <v>150</v>
      </c>
      <c r="E191" s="39">
        <f t="shared" si="10"/>
        <v>1.4717675963222021</v>
      </c>
      <c r="G191" s="30"/>
      <c r="H191" s="30"/>
      <c r="I191" s="30"/>
      <c r="J191" s="30"/>
      <c r="K191" s="30"/>
      <c r="L191" s="30"/>
      <c r="M191" s="30"/>
      <c r="N191" s="37">
        <f t="shared" si="20"/>
        <v>0.34279181077821308</v>
      </c>
      <c r="O191" s="37">
        <f t="shared" si="21"/>
        <v>0.5896072012626089</v>
      </c>
      <c r="P191" s="34">
        <f t="shared" si="22"/>
        <v>0.77869002315689451</v>
      </c>
      <c r="Q191" s="37">
        <f t="shared" si="23"/>
        <v>0.93911784897690487</v>
      </c>
      <c r="R191" s="37">
        <f t="shared" si="24"/>
        <v>1.0814549206952369</v>
      </c>
      <c r="S191" s="33">
        <f t="shared" si="13"/>
        <v>3.7316618048698582</v>
      </c>
    </row>
    <row r="192" spans="4:19" ht="13.2" x14ac:dyDescent="0.25">
      <c r="D192" s="15">
        <v>151</v>
      </c>
      <c r="E192" s="39">
        <f t="shared" si="10"/>
        <v>1.4815793802976835</v>
      </c>
      <c r="G192" s="30"/>
      <c r="H192" s="30"/>
      <c r="I192" s="30"/>
      <c r="J192" s="30"/>
      <c r="K192" s="30"/>
      <c r="L192" s="30"/>
      <c r="M192" s="30"/>
      <c r="N192" s="37">
        <f t="shared" si="20"/>
        <v>0.28916355502442509</v>
      </c>
      <c r="O192" s="37">
        <f t="shared" si="21"/>
        <v>0.54863949689472291</v>
      </c>
      <c r="P192" s="34">
        <f t="shared" si="22"/>
        <v>0.7439146559205202</v>
      </c>
      <c r="Q192" s="37">
        <f t="shared" si="23"/>
        <v>0.9082176828484203</v>
      </c>
      <c r="R192" s="37">
        <f t="shared" si="24"/>
        <v>1.0532861636444129</v>
      </c>
      <c r="S192" s="33">
        <f t="shared" si="13"/>
        <v>3.5432215543325007</v>
      </c>
    </row>
    <row r="193" spans="4:19" ht="13.2" x14ac:dyDescent="0.25">
      <c r="D193" s="38">
        <v>152</v>
      </c>
      <c r="E193" s="39">
        <f t="shared" si="10"/>
        <v>1.4913911642731648</v>
      </c>
      <c r="G193" s="30"/>
      <c r="H193" s="30"/>
      <c r="I193" s="30"/>
      <c r="J193" s="30"/>
      <c r="K193" s="30"/>
      <c r="L193" s="30"/>
      <c r="M193" s="30"/>
      <c r="N193" s="37">
        <f t="shared" si="20"/>
        <v>0.23553529927063646</v>
      </c>
      <c r="O193" s="37">
        <f t="shared" si="21"/>
        <v>0.50767179252683747</v>
      </c>
      <c r="P193" s="34">
        <f t="shared" si="22"/>
        <v>0.70913928868414589</v>
      </c>
      <c r="Q193" s="37">
        <f t="shared" si="23"/>
        <v>0.8773175167199353</v>
      </c>
      <c r="R193" s="37">
        <f t="shared" si="24"/>
        <v>1.0251174065935886</v>
      </c>
      <c r="S193" s="33">
        <f t="shared" si="13"/>
        <v>3.3547813037951437</v>
      </c>
    </row>
    <row r="194" spans="4:19" ht="13.2" x14ac:dyDescent="0.25">
      <c r="D194" s="32">
        <v>153</v>
      </c>
      <c r="E194" s="39">
        <f t="shared" si="10"/>
        <v>1.5012029482486462</v>
      </c>
      <c r="G194" s="30"/>
      <c r="H194" s="30"/>
      <c r="I194" s="30"/>
      <c r="J194" s="30"/>
      <c r="K194" s="30"/>
      <c r="L194" s="30"/>
      <c r="M194" s="30"/>
      <c r="N194" s="37">
        <f t="shared" si="20"/>
        <v>0.18190704351684844</v>
      </c>
      <c r="O194" s="37">
        <f t="shared" si="21"/>
        <v>0.46670408815895192</v>
      </c>
      <c r="P194" s="34">
        <f t="shared" si="22"/>
        <v>0.67436392144777157</v>
      </c>
      <c r="Q194" s="37">
        <f t="shared" si="23"/>
        <v>0.84641735059145073</v>
      </c>
      <c r="R194" s="37">
        <f t="shared" si="24"/>
        <v>0.99694864954276474</v>
      </c>
      <c r="S194" s="33">
        <f t="shared" si="13"/>
        <v>3.1663410532577871</v>
      </c>
    </row>
    <row r="195" spans="4:19" ht="13.2" x14ac:dyDescent="0.25">
      <c r="D195" s="15">
        <v>154</v>
      </c>
      <c r="E195" s="39">
        <f t="shared" si="10"/>
        <v>1.5110147322241276</v>
      </c>
      <c r="G195" s="30"/>
      <c r="H195" s="30"/>
      <c r="I195" s="30"/>
      <c r="J195" s="30"/>
      <c r="K195" s="30"/>
      <c r="L195" s="30"/>
      <c r="M195" s="30"/>
      <c r="N195" s="37">
        <f t="shared" si="20"/>
        <v>0.12827878776306043</v>
      </c>
      <c r="O195" s="37">
        <f t="shared" si="21"/>
        <v>0.42573638379106638</v>
      </c>
      <c r="P195" s="34">
        <f t="shared" si="22"/>
        <v>0.63958855421139682</v>
      </c>
      <c r="Q195" s="37">
        <f t="shared" si="23"/>
        <v>0.81551718446296617</v>
      </c>
      <c r="R195" s="37">
        <f t="shared" si="24"/>
        <v>0.96877989249194107</v>
      </c>
      <c r="S195" s="33">
        <f t="shared" si="13"/>
        <v>2.9779008027204306</v>
      </c>
    </row>
    <row r="196" spans="4:19" ht="13.2" x14ac:dyDescent="0.25">
      <c r="D196" s="38">
        <v>155</v>
      </c>
      <c r="E196" s="39">
        <f t="shared" si="10"/>
        <v>1.5208265161996088</v>
      </c>
      <c r="G196" s="30"/>
      <c r="H196" s="30"/>
      <c r="I196" s="30"/>
      <c r="J196" s="30"/>
      <c r="K196" s="30"/>
      <c r="L196" s="30"/>
      <c r="M196" s="30"/>
      <c r="N196" s="37">
        <f t="shared" si="20"/>
        <v>7.4650532009272422E-2</v>
      </c>
      <c r="O196" s="37">
        <f t="shared" si="21"/>
        <v>0.38476867942318088</v>
      </c>
      <c r="P196" s="34">
        <f t="shared" si="22"/>
        <v>0.60481318697502251</v>
      </c>
      <c r="Q196" s="37">
        <f t="shared" si="23"/>
        <v>0.78461701833448161</v>
      </c>
      <c r="R196" s="37">
        <f t="shared" si="24"/>
        <v>0.94061113544111674</v>
      </c>
      <c r="S196" s="33">
        <f t="shared" si="13"/>
        <v>2.789460552183074</v>
      </c>
    </row>
    <row r="197" spans="4:19" ht="13.2" x14ac:dyDescent="0.25">
      <c r="D197" s="32">
        <v>156</v>
      </c>
      <c r="E197" s="39">
        <f t="shared" si="10"/>
        <v>1.5306383001750903</v>
      </c>
      <c r="G197" s="30"/>
      <c r="H197" s="30"/>
      <c r="I197" s="30"/>
      <c r="J197" s="30"/>
      <c r="K197" s="30"/>
      <c r="L197" s="30"/>
      <c r="M197" s="30"/>
      <c r="N197" s="37">
        <f t="shared" si="20"/>
        <v>2.1022276255484411E-2</v>
      </c>
      <c r="O197" s="37">
        <f t="shared" si="21"/>
        <v>0.34380097505529533</v>
      </c>
      <c r="P197" s="34">
        <f t="shared" si="22"/>
        <v>0.5700378197386482</v>
      </c>
      <c r="Q197" s="37">
        <f t="shared" si="23"/>
        <v>0.75371685220599705</v>
      </c>
      <c r="R197" s="37">
        <f t="shared" si="24"/>
        <v>0.91244237839029274</v>
      </c>
      <c r="S197" s="33">
        <f t="shared" si="13"/>
        <v>2.6010203016457178</v>
      </c>
    </row>
    <row r="198" spans="4:19" ht="13.2" x14ac:dyDescent="0.25">
      <c r="D198" s="15">
        <v>157</v>
      </c>
      <c r="E198" s="39">
        <f t="shared" si="10"/>
        <v>1.5404500841505715</v>
      </c>
      <c r="G198" s="30"/>
      <c r="H198" s="30"/>
      <c r="I198" s="30"/>
      <c r="J198" s="30"/>
      <c r="K198" s="30"/>
      <c r="L198" s="30"/>
      <c r="M198" s="30"/>
      <c r="N198" s="30"/>
      <c r="O198" s="37">
        <f t="shared" si="21"/>
        <v>0.30283327068740984</v>
      </c>
      <c r="P198" s="34">
        <f t="shared" si="22"/>
        <v>0.53526245250227389</v>
      </c>
      <c r="Q198" s="37">
        <f t="shared" si="23"/>
        <v>0.72281668607751204</v>
      </c>
      <c r="R198" s="37">
        <f t="shared" si="24"/>
        <v>0.88427362133946863</v>
      </c>
      <c r="S198" s="33">
        <f t="shared" si="13"/>
        <v>2.4451860306066644</v>
      </c>
    </row>
    <row r="199" spans="4:19" ht="13.2" x14ac:dyDescent="0.25">
      <c r="D199" s="38">
        <v>158</v>
      </c>
      <c r="E199" s="39">
        <f t="shared" si="10"/>
        <v>1.5502618681260529</v>
      </c>
      <c r="G199" s="30"/>
      <c r="H199" s="30"/>
      <c r="I199" s="30"/>
      <c r="J199" s="30"/>
      <c r="K199" s="30"/>
      <c r="L199" s="30"/>
      <c r="M199" s="30"/>
      <c r="N199" s="30"/>
      <c r="O199" s="37">
        <f t="shared" si="21"/>
        <v>0.26186556631952429</v>
      </c>
      <c r="P199" s="34">
        <f t="shared" si="22"/>
        <v>0.50048708526589958</v>
      </c>
      <c r="Q199" s="37">
        <f t="shared" si="23"/>
        <v>0.69191651994902748</v>
      </c>
      <c r="R199" s="37">
        <f t="shared" si="24"/>
        <v>0.85610486428864463</v>
      </c>
      <c r="S199" s="33">
        <f t="shared" si="13"/>
        <v>2.310374035823096</v>
      </c>
    </row>
    <row r="200" spans="4:19" ht="13.2" x14ac:dyDescent="0.25">
      <c r="D200" s="32">
        <v>159</v>
      </c>
      <c r="E200" s="39">
        <f t="shared" si="10"/>
        <v>1.5600736521015344</v>
      </c>
      <c r="G200" s="30"/>
      <c r="H200" s="30"/>
      <c r="I200" s="30"/>
      <c r="J200" s="30"/>
      <c r="K200" s="30"/>
      <c r="L200" s="30"/>
      <c r="M200" s="30"/>
      <c r="N200" s="30"/>
      <c r="O200" s="37">
        <f t="shared" si="21"/>
        <v>0.2208978619516388</v>
      </c>
      <c r="P200" s="34">
        <f t="shared" si="22"/>
        <v>0.46571171802952488</v>
      </c>
      <c r="Q200" s="37">
        <f t="shared" si="23"/>
        <v>0.66101635382054291</v>
      </c>
      <c r="R200" s="37">
        <f t="shared" si="24"/>
        <v>0.82793610723782063</v>
      </c>
      <c r="S200" s="33">
        <f t="shared" si="13"/>
        <v>2.1755620410395271</v>
      </c>
    </row>
    <row r="201" spans="4:19" ht="13.2" x14ac:dyDescent="0.25">
      <c r="D201" s="15">
        <v>160</v>
      </c>
      <c r="E201" s="39">
        <f t="shared" si="10"/>
        <v>1.5698854360770156</v>
      </c>
      <c r="G201" s="30"/>
      <c r="H201" s="30"/>
      <c r="I201" s="30"/>
      <c r="J201" s="30"/>
      <c r="K201" s="30"/>
      <c r="L201" s="30"/>
      <c r="M201" s="30"/>
      <c r="N201" s="30"/>
      <c r="O201" s="37">
        <f t="shared" si="21"/>
        <v>0.17993015758375283</v>
      </c>
      <c r="P201" s="34">
        <f t="shared" si="22"/>
        <v>0.43093635079315057</v>
      </c>
      <c r="Q201" s="37">
        <f t="shared" si="23"/>
        <v>0.63011618769205835</v>
      </c>
      <c r="R201" s="37">
        <f t="shared" si="24"/>
        <v>0.7997673501869963</v>
      </c>
      <c r="S201" s="33">
        <f t="shared" si="13"/>
        <v>2.0407500462559582</v>
      </c>
    </row>
    <row r="202" spans="4:19" ht="13.2" x14ac:dyDescent="0.25">
      <c r="D202" s="38">
        <v>161</v>
      </c>
      <c r="E202" s="39">
        <f t="shared" si="10"/>
        <v>1.579697220052497</v>
      </c>
      <c r="G202" s="30"/>
      <c r="H202" s="30"/>
      <c r="I202" s="30"/>
      <c r="J202" s="30"/>
      <c r="K202" s="30"/>
      <c r="L202" s="30"/>
      <c r="M202" s="30"/>
      <c r="N202" s="30"/>
      <c r="O202" s="37">
        <f t="shared" si="21"/>
        <v>0.13896245321586731</v>
      </c>
      <c r="P202" s="34">
        <f t="shared" si="22"/>
        <v>0.39616098355677626</v>
      </c>
      <c r="Q202" s="37">
        <f t="shared" si="23"/>
        <v>0.59921602156357379</v>
      </c>
      <c r="R202" s="37">
        <f t="shared" si="24"/>
        <v>0.77159859313617229</v>
      </c>
      <c r="S202" s="33">
        <f t="shared" si="13"/>
        <v>1.9059380514723898</v>
      </c>
    </row>
    <row r="203" spans="4:19" ht="13.2" x14ac:dyDescent="0.25">
      <c r="D203" s="32">
        <v>162</v>
      </c>
      <c r="E203" s="39">
        <f t="shared" si="10"/>
        <v>1.5895090040279782</v>
      </c>
      <c r="G203" s="30"/>
      <c r="H203" s="30"/>
      <c r="I203" s="30"/>
      <c r="J203" s="30"/>
      <c r="K203" s="30"/>
      <c r="L203" s="30"/>
      <c r="M203" s="30"/>
      <c r="N203" s="30"/>
      <c r="O203" s="37">
        <f t="shared" si="21"/>
        <v>9.7994748847981789E-2</v>
      </c>
      <c r="P203" s="34">
        <f t="shared" si="22"/>
        <v>0.36138561632040195</v>
      </c>
      <c r="Q203" s="37">
        <f t="shared" si="23"/>
        <v>0.56831585543508878</v>
      </c>
      <c r="R203" s="37">
        <f t="shared" si="24"/>
        <v>0.74342983608534829</v>
      </c>
      <c r="S203" s="33">
        <f t="shared" si="13"/>
        <v>1.7711260566888209</v>
      </c>
    </row>
    <row r="204" spans="4:19" ht="13.2" x14ac:dyDescent="0.25">
      <c r="D204" s="15">
        <v>163</v>
      </c>
      <c r="E204" s="39">
        <f t="shared" si="10"/>
        <v>1.5993207880034597</v>
      </c>
      <c r="G204" s="30"/>
      <c r="H204" s="30"/>
      <c r="I204" s="30"/>
      <c r="J204" s="30"/>
      <c r="K204" s="30"/>
      <c r="L204" s="30"/>
      <c r="M204" s="30"/>
      <c r="N204" s="30"/>
      <c r="O204" s="37">
        <f t="shared" si="21"/>
        <v>5.7027044480096267E-2</v>
      </c>
      <c r="P204" s="34">
        <f t="shared" si="22"/>
        <v>0.32661024908402764</v>
      </c>
      <c r="Q204" s="37">
        <f t="shared" si="23"/>
        <v>0.53741568930660422</v>
      </c>
      <c r="R204" s="37">
        <f t="shared" si="24"/>
        <v>0.71526107903452429</v>
      </c>
      <c r="S204" s="33">
        <f t="shared" si="13"/>
        <v>1.6363140619052525</v>
      </c>
    </row>
    <row r="205" spans="4:19" ht="13.2" x14ac:dyDescent="0.25">
      <c r="D205" s="38">
        <v>164</v>
      </c>
      <c r="E205" s="39">
        <f t="shared" si="10"/>
        <v>1.6091325719789411</v>
      </c>
      <c r="G205" s="30"/>
      <c r="H205" s="30"/>
      <c r="I205" s="30"/>
      <c r="J205" s="30"/>
      <c r="K205" s="30"/>
      <c r="L205" s="30"/>
      <c r="M205" s="30"/>
      <c r="N205" s="30"/>
      <c r="O205" s="37">
        <f t="shared" si="21"/>
        <v>1.6059340112210749E-2</v>
      </c>
      <c r="P205" s="34">
        <f t="shared" si="22"/>
        <v>0.29183488184765333</v>
      </c>
      <c r="Q205" s="37">
        <f t="shared" si="23"/>
        <v>0.50651552317811965</v>
      </c>
      <c r="R205" s="37">
        <f t="shared" si="24"/>
        <v>0.68709232198370029</v>
      </c>
      <c r="S205" s="33">
        <f t="shared" si="13"/>
        <v>1.5015020671216841</v>
      </c>
    </row>
    <row r="206" spans="4:19" ht="13.2" x14ac:dyDescent="0.25">
      <c r="D206" s="32">
        <v>165</v>
      </c>
      <c r="E206" s="39">
        <f t="shared" si="10"/>
        <v>1.6189443559544223</v>
      </c>
      <c r="G206" s="30"/>
      <c r="H206" s="30"/>
      <c r="I206" s="30"/>
      <c r="J206" s="30"/>
      <c r="K206" s="30"/>
      <c r="L206" s="30"/>
      <c r="M206" s="30"/>
      <c r="N206" s="30"/>
      <c r="O206" s="30"/>
      <c r="P206" s="34">
        <f t="shared" si="22"/>
        <v>0.25705951461127902</v>
      </c>
      <c r="Q206" s="37">
        <f t="shared" si="23"/>
        <v>0.47561535704963509</v>
      </c>
      <c r="R206" s="37">
        <f t="shared" si="24"/>
        <v>0.65892356493287596</v>
      </c>
      <c r="S206" s="33">
        <f t="shared" si="13"/>
        <v>1.3915984365937901</v>
      </c>
    </row>
    <row r="207" spans="4:19" ht="13.2" x14ac:dyDescent="0.25">
      <c r="D207" s="15">
        <v>166</v>
      </c>
      <c r="E207" s="39">
        <f t="shared" si="10"/>
        <v>1.6287561399299038</v>
      </c>
      <c r="G207" s="30"/>
      <c r="H207" s="30"/>
      <c r="I207" s="30"/>
      <c r="J207" s="30"/>
      <c r="K207" s="30"/>
      <c r="L207" s="30"/>
      <c r="M207" s="30"/>
      <c r="N207" s="30"/>
      <c r="O207" s="30"/>
      <c r="P207" s="34">
        <f t="shared" si="22"/>
        <v>0.22228414737490471</v>
      </c>
      <c r="Q207" s="37">
        <f t="shared" si="23"/>
        <v>0.44471519092115047</v>
      </c>
      <c r="R207" s="37">
        <f t="shared" si="24"/>
        <v>0.63075480788205196</v>
      </c>
      <c r="S207" s="33">
        <f t="shared" si="13"/>
        <v>1.2977541461781072</v>
      </c>
    </row>
    <row r="208" spans="4:19" ht="13.2" x14ac:dyDescent="0.25">
      <c r="D208" s="38">
        <v>167</v>
      </c>
      <c r="E208" s="39">
        <f t="shared" si="10"/>
        <v>1.638567923905385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4">
        <f t="shared" si="22"/>
        <v>0.18750878013853037</v>
      </c>
      <c r="Q208" s="37">
        <f t="shared" si="23"/>
        <v>0.41381502479266558</v>
      </c>
      <c r="R208" s="37">
        <f t="shared" si="24"/>
        <v>0.60258605083122796</v>
      </c>
      <c r="S208" s="33">
        <f t="shared" si="13"/>
        <v>1.2039098557624239</v>
      </c>
    </row>
    <row r="209" spans="4:19" ht="13.2" x14ac:dyDescent="0.25">
      <c r="D209" s="32">
        <v>168</v>
      </c>
      <c r="E209" s="39">
        <f t="shared" si="10"/>
        <v>1.6483797078808664</v>
      </c>
      <c r="G209" s="30"/>
      <c r="H209" s="30"/>
      <c r="I209" s="30"/>
      <c r="J209" s="30"/>
      <c r="K209" s="30"/>
      <c r="L209" s="30"/>
      <c r="M209" s="30"/>
      <c r="N209" s="30"/>
      <c r="O209" s="30"/>
      <c r="P209" s="34">
        <f t="shared" si="22"/>
        <v>0.15273341290215567</v>
      </c>
      <c r="Q209" s="37">
        <f t="shared" si="23"/>
        <v>0.38291485866418101</v>
      </c>
      <c r="R209" s="37">
        <f t="shared" si="24"/>
        <v>0.57441729378040396</v>
      </c>
      <c r="S209" s="33">
        <f t="shared" si="13"/>
        <v>1.1100655653467406</v>
      </c>
    </row>
    <row r="210" spans="4:19" ht="13.2" x14ac:dyDescent="0.25">
      <c r="D210" s="15">
        <v>169</v>
      </c>
      <c r="E210" s="39">
        <f t="shared" si="10"/>
        <v>1.6581914918563478</v>
      </c>
      <c r="G210" s="30"/>
      <c r="H210" s="30"/>
      <c r="I210" s="30"/>
      <c r="J210" s="30"/>
      <c r="K210" s="30"/>
      <c r="L210" s="30"/>
      <c r="M210" s="30"/>
      <c r="N210" s="30"/>
      <c r="O210" s="30"/>
      <c r="P210" s="34">
        <f t="shared" si="22"/>
        <v>0.11795804566578136</v>
      </c>
      <c r="Q210" s="37">
        <f t="shared" si="23"/>
        <v>0.35201469253569639</v>
      </c>
      <c r="R210" s="37">
        <f t="shared" si="24"/>
        <v>0.54624853672957996</v>
      </c>
      <c r="S210" s="33">
        <f t="shared" si="13"/>
        <v>1.0162212749310577</v>
      </c>
    </row>
    <row r="211" spans="4:19" ht="13.2" x14ac:dyDescent="0.25">
      <c r="D211" s="38">
        <v>170</v>
      </c>
      <c r="E211" s="39">
        <f t="shared" si="10"/>
        <v>1.6680032758318291</v>
      </c>
      <c r="G211" s="30"/>
      <c r="H211" s="30"/>
      <c r="I211" s="30"/>
      <c r="J211" s="30"/>
      <c r="K211" s="30"/>
      <c r="L211" s="30"/>
      <c r="M211" s="30"/>
      <c r="N211" s="30"/>
      <c r="O211" s="30"/>
      <c r="P211" s="34">
        <f t="shared" si="22"/>
        <v>8.3182678429407048E-2</v>
      </c>
      <c r="Q211" s="37">
        <f t="shared" si="23"/>
        <v>0.32111452640721183</v>
      </c>
      <c r="R211" s="37">
        <f t="shared" si="24"/>
        <v>0.51807977967875563</v>
      </c>
      <c r="S211" s="33">
        <f t="shared" si="13"/>
        <v>0.92237698451537453</v>
      </c>
    </row>
    <row r="212" spans="4:19" ht="13.2" x14ac:dyDescent="0.25">
      <c r="D212" s="32">
        <v>171</v>
      </c>
      <c r="E212" s="39">
        <f t="shared" si="10"/>
        <v>1.6778150598073105</v>
      </c>
      <c r="G212" s="30"/>
      <c r="H212" s="30"/>
      <c r="I212" s="30"/>
      <c r="J212" s="30"/>
      <c r="K212" s="30"/>
      <c r="L212" s="30"/>
      <c r="M212" s="30"/>
      <c r="N212" s="30"/>
      <c r="O212" s="30"/>
      <c r="P212" s="34">
        <f t="shared" si="22"/>
        <v>4.840731119303273E-2</v>
      </c>
      <c r="Q212" s="37">
        <f t="shared" si="23"/>
        <v>0.29021436027872727</v>
      </c>
      <c r="R212" s="37">
        <f t="shared" si="24"/>
        <v>0.48991102262793157</v>
      </c>
      <c r="S212" s="33">
        <f t="shared" si="13"/>
        <v>0.82853269409969155</v>
      </c>
    </row>
    <row r="213" spans="4:19" ht="13.2" x14ac:dyDescent="0.25">
      <c r="D213" s="15">
        <v>172</v>
      </c>
      <c r="E213" s="39">
        <f t="shared" si="10"/>
        <v>1.6876268437827917</v>
      </c>
      <c r="G213" s="30"/>
      <c r="H213" s="30"/>
      <c r="I213" s="30"/>
      <c r="J213" s="30"/>
      <c r="K213" s="30"/>
      <c r="L213" s="30"/>
      <c r="M213" s="30"/>
      <c r="N213" s="30"/>
      <c r="O213" s="30"/>
      <c r="P213" s="34">
        <f t="shared" si="22"/>
        <v>1.3631943956658414E-2</v>
      </c>
      <c r="Q213" s="37">
        <f t="shared" si="23"/>
        <v>0.25931419415024265</v>
      </c>
      <c r="R213" s="37">
        <f t="shared" si="24"/>
        <v>0.46174226557710757</v>
      </c>
      <c r="S213" s="33">
        <f t="shared" si="13"/>
        <v>0.73468840368400867</v>
      </c>
    </row>
    <row r="214" spans="4:19" ht="13.2" x14ac:dyDescent="0.25">
      <c r="D214" s="38">
        <v>173</v>
      </c>
      <c r="E214" s="39">
        <f t="shared" si="10"/>
        <v>1.6974386277582731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7">
        <f t="shared" si="23"/>
        <v>0.22841402802175809</v>
      </c>
      <c r="R214" s="37">
        <f t="shared" si="24"/>
        <v>0.43357350852628357</v>
      </c>
      <c r="S214" s="33">
        <f t="shared" si="13"/>
        <v>0.66198753654804166</v>
      </c>
    </row>
    <row r="215" spans="4:19" ht="13.2" x14ac:dyDescent="0.25">
      <c r="D215" s="32">
        <v>174</v>
      </c>
      <c r="E215" s="39">
        <f t="shared" si="10"/>
        <v>1.7072504117337546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7">
        <f t="shared" si="23"/>
        <v>0.1975138618932735</v>
      </c>
      <c r="R215" s="37">
        <f t="shared" si="24"/>
        <v>0.40540475147545957</v>
      </c>
      <c r="S215" s="33">
        <f t="shared" si="13"/>
        <v>0.60291861336873309</v>
      </c>
    </row>
    <row r="216" spans="4:19" ht="13.2" x14ac:dyDescent="0.25">
      <c r="D216" s="15">
        <v>175</v>
      </c>
      <c r="E216" s="39">
        <f t="shared" si="10"/>
        <v>1.7170621957092358</v>
      </c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7">
        <f t="shared" si="23"/>
        <v>0.16661369576478893</v>
      </c>
      <c r="R216" s="37">
        <f t="shared" si="24"/>
        <v>0.37723599442463523</v>
      </c>
      <c r="S216" s="33">
        <f t="shared" si="13"/>
        <v>0.5438496901894242</v>
      </c>
    </row>
    <row r="217" spans="4:19" ht="13.2" x14ac:dyDescent="0.25">
      <c r="D217" s="38">
        <v>176</v>
      </c>
      <c r="E217" s="39">
        <f t="shared" si="10"/>
        <v>1.7268739796847172</v>
      </c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7">
        <f t="shared" si="23"/>
        <v>0.13571352963630401</v>
      </c>
      <c r="R217" s="37">
        <f t="shared" si="24"/>
        <v>0.34906723737381118</v>
      </c>
      <c r="S217" s="33">
        <f t="shared" si="13"/>
        <v>0.48478076701011519</v>
      </c>
    </row>
    <row r="218" spans="4:19" ht="13.2" x14ac:dyDescent="0.25">
      <c r="D218" s="32">
        <v>177</v>
      </c>
      <c r="E218" s="39">
        <f t="shared" si="10"/>
        <v>1.7366857636601984</v>
      </c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7">
        <f t="shared" si="23"/>
        <v>0.10481336350781942</v>
      </c>
      <c r="R218" s="37">
        <f t="shared" si="24"/>
        <v>0.32089848032298718</v>
      </c>
      <c r="S218" s="33">
        <f t="shared" si="13"/>
        <v>0.42571184383080662</v>
      </c>
    </row>
    <row r="219" spans="4:19" ht="13.2" x14ac:dyDescent="0.25">
      <c r="D219" s="15">
        <v>178</v>
      </c>
      <c r="E219" s="39">
        <f t="shared" si="10"/>
        <v>1.7464975476356799</v>
      </c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7">
        <f t="shared" si="23"/>
        <v>7.3913197379334841E-2</v>
      </c>
      <c r="R219" s="37">
        <f t="shared" si="24"/>
        <v>0.29272972327216318</v>
      </c>
      <c r="S219" s="33">
        <f t="shared" si="13"/>
        <v>0.36664292065149801</v>
      </c>
    </row>
    <row r="220" spans="4:19" ht="13.2" x14ac:dyDescent="0.25">
      <c r="D220" s="38">
        <v>179</v>
      </c>
      <c r="E220" s="39">
        <f t="shared" si="10"/>
        <v>1.7563093316111613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7">
        <f t="shared" si="23"/>
        <v>4.3013031250850257E-2</v>
      </c>
      <c r="R220" s="37">
        <f t="shared" si="24"/>
        <v>0.26456096622133918</v>
      </c>
      <c r="S220" s="33">
        <f t="shared" si="13"/>
        <v>0.30757399747218944</v>
      </c>
    </row>
    <row r="221" spans="4:19" ht="13.2" x14ac:dyDescent="0.25">
      <c r="D221" s="32">
        <v>180</v>
      </c>
      <c r="E221" s="39">
        <f t="shared" si="10"/>
        <v>1.7661211155866425</v>
      </c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7">
        <f t="shared" si="23"/>
        <v>1.2112865122365674E-2</v>
      </c>
      <c r="R221" s="37">
        <f t="shared" si="24"/>
        <v>0.23639220917051515</v>
      </c>
      <c r="S221" s="33">
        <f t="shared" si="13"/>
        <v>0.24850507429288082</v>
      </c>
    </row>
    <row r="222" spans="4:19" ht="13.2" x14ac:dyDescent="0.25">
      <c r="D222" s="15">
        <v>181</v>
      </c>
      <c r="E222" s="39">
        <f t="shared" si="10"/>
        <v>1.775932899562124</v>
      </c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7">
        <f t="shared" si="24"/>
        <v>0.20822345211969115</v>
      </c>
      <c r="S222" s="33">
        <f t="shared" si="13"/>
        <v>0.20822345211969115</v>
      </c>
    </row>
    <row r="223" spans="4:19" ht="13.2" x14ac:dyDescent="0.25">
      <c r="D223" s="38">
        <v>182</v>
      </c>
      <c r="E223" s="39">
        <f t="shared" si="10"/>
        <v>1.7857446835376052</v>
      </c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7">
        <f t="shared" si="24"/>
        <v>0.18005469506886715</v>
      </c>
      <c r="S223" s="33">
        <f t="shared" si="13"/>
        <v>0.18005469506886715</v>
      </c>
    </row>
    <row r="224" spans="4:19" ht="13.2" x14ac:dyDescent="0.25">
      <c r="D224" s="32">
        <v>183</v>
      </c>
      <c r="E224" s="39">
        <f t="shared" si="10"/>
        <v>1.7955564675130866</v>
      </c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7">
        <f t="shared" si="24"/>
        <v>0.15188593801804312</v>
      </c>
      <c r="S224" s="33">
        <f t="shared" si="13"/>
        <v>0.15188593801804312</v>
      </c>
    </row>
    <row r="225" spans="4:19" ht="13.2" x14ac:dyDescent="0.25">
      <c r="D225" s="15">
        <v>184</v>
      </c>
      <c r="E225" s="39">
        <f t="shared" si="10"/>
        <v>1.8053682514885681</v>
      </c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7">
        <f t="shared" si="24"/>
        <v>0.1237171809672188</v>
      </c>
      <c r="S225" s="33">
        <f t="shared" si="13"/>
        <v>0.1237171809672188</v>
      </c>
    </row>
    <row r="226" spans="4:19" ht="13.2" x14ac:dyDescent="0.25">
      <c r="D226" s="38">
        <v>185</v>
      </c>
      <c r="E226" s="39">
        <f t="shared" si="10"/>
        <v>1.8151800354640493</v>
      </c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7">
        <f t="shared" si="24"/>
        <v>9.5548423916394787E-2</v>
      </c>
      <c r="S226" s="33">
        <f t="shared" si="13"/>
        <v>9.5548423916394787E-2</v>
      </c>
    </row>
    <row r="227" spans="4:19" ht="13.2" x14ac:dyDescent="0.25">
      <c r="D227" s="32">
        <v>186</v>
      </c>
      <c r="E227" s="39">
        <f t="shared" si="10"/>
        <v>1.8249918194395307</v>
      </c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7">
        <f t="shared" si="24"/>
        <v>6.7379666865570773E-2</v>
      </c>
      <c r="S227" s="33">
        <f t="shared" si="13"/>
        <v>6.7379666865570773E-2</v>
      </c>
    </row>
    <row r="228" spans="4:19" ht="13.2" x14ac:dyDescent="0.25">
      <c r="D228" s="15">
        <v>187</v>
      </c>
      <c r="E228" s="39">
        <f t="shared" si="10"/>
        <v>1.8348036034150119</v>
      </c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7">
        <f t="shared" si="24"/>
        <v>3.9210909814746765E-2</v>
      </c>
      <c r="S228" s="33">
        <f t="shared" si="13"/>
        <v>3.9210909814746765E-2</v>
      </c>
    </row>
    <row r="229" spans="4:19" ht="13.2" x14ac:dyDescent="0.25">
      <c r="D229" s="38">
        <v>188</v>
      </c>
      <c r="E229" s="39">
        <f t="shared" si="10"/>
        <v>1.8446153873904934</v>
      </c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7">
        <f t="shared" si="24"/>
        <v>1.1042152763922754E-2</v>
      </c>
      <c r="S229" s="40">
        <f t="shared" si="13"/>
        <v>1.1042152763922754E-2</v>
      </c>
    </row>
  </sheetData>
  <mergeCells count="35">
    <mergeCell ref="A1:B1"/>
    <mergeCell ref="A2:B2"/>
    <mergeCell ref="G3:I3"/>
    <mergeCell ref="O3:Q3"/>
    <mergeCell ref="A6:A7"/>
    <mergeCell ref="B6:B7"/>
    <mergeCell ref="B8:B9"/>
    <mergeCell ref="A8:A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A44:A45"/>
    <mergeCell ref="A46:A47"/>
    <mergeCell ref="B46:B47"/>
    <mergeCell ref="A48:A49"/>
    <mergeCell ref="A50:A51"/>
    <mergeCell ref="A52:A53"/>
    <mergeCell ref="B52:B53"/>
    <mergeCell ref="B22:B23"/>
    <mergeCell ref="A38:C38"/>
    <mergeCell ref="A40:A41"/>
    <mergeCell ref="B40:B41"/>
    <mergeCell ref="A42:A43"/>
    <mergeCell ref="B42:B43"/>
    <mergeCell ref="B44:B4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50"/>
  <sheetViews>
    <sheetView workbookViewId="0"/>
  </sheetViews>
  <sheetFormatPr baseColWidth="10" defaultColWidth="12.6640625" defaultRowHeight="15.75" customHeight="1" x14ac:dyDescent="0.25"/>
  <sheetData>
    <row r="1" spans="1:26" x14ac:dyDescent="0.25">
      <c r="A1" s="43" t="s">
        <v>115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5" spans="1:26" x14ac:dyDescent="0.25">
      <c r="A5" s="48" t="s">
        <v>4</v>
      </c>
      <c r="B5" s="68">
        <v>0.61499999999999999</v>
      </c>
      <c r="C5" s="7"/>
      <c r="D5" s="7"/>
    </row>
    <row r="6" spans="1:26" x14ac:dyDescent="0.25">
      <c r="A6" s="50"/>
      <c r="B6" s="50"/>
      <c r="C6" s="7"/>
      <c r="D6" s="7"/>
    </row>
    <row r="7" spans="1:26" x14ac:dyDescent="0.25">
      <c r="A7" s="3"/>
      <c r="B7" s="3"/>
      <c r="C7" s="3"/>
    </row>
    <row r="8" spans="1:26" x14ac:dyDescent="0.25">
      <c r="A8" s="58" t="s">
        <v>7</v>
      </c>
      <c r="B8" s="69">
        <f>D8*D9*D14/360</f>
        <v>49.851101561508756</v>
      </c>
      <c r="C8" s="6" t="s">
        <v>8</v>
      </c>
      <c r="D8" s="5">
        <v>0.4</v>
      </c>
      <c r="E8" s="7"/>
      <c r="F8" s="7"/>
      <c r="G8" s="7"/>
      <c r="H8" s="7"/>
      <c r="I8" s="7"/>
      <c r="J8" s="7"/>
    </row>
    <row r="9" spans="1:26" x14ac:dyDescent="0.25">
      <c r="A9" s="49"/>
      <c r="B9" s="49"/>
      <c r="C9" s="58" t="s">
        <v>9</v>
      </c>
      <c r="D9" s="51">
        <f>F9/F13</f>
        <v>79.408834345766152</v>
      </c>
      <c r="E9" s="48" t="s">
        <v>10</v>
      </c>
      <c r="F9" s="51">
        <f>H9*H10*H11*H12</f>
        <v>48.836433122646184</v>
      </c>
      <c r="G9" s="4" t="s">
        <v>11</v>
      </c>
      <c r="H9" s="5">
        <v>88</v>
      </c>
      <c r="I9" s="7"/>
      <c r="J9" s="7"/>
    </row>
    <row r="10" spans="1:26" x14ac:dyDescent="0.25">
      <c r="A10" s="49"/>
      <c r="B10" s="49"/>
      <c r="C10" s="49"/>
      <c r="D10" s="49"/>
      <c r="E10" s="49"/>
      <c r="F10" s="49"/>
      <c r="G10" s="4" t="s">
        <v>12</v>
      </c>
      <c r="H10" s="8">
        <f>0.5786-0.4312*LOG(LN(J10/(J10-1)))</f>
        <v>1.1348218722269361</v>
      </c>
      <c r="I10" s="4" t="s">
        <v>13</v>
      </c>
      <c r="J10" s="5">
        <v>20</v>
      </c>
    </row>
    <row r="11" spans="1:26" x14ac:dyDescent="0.25">
      <c r="A11" s="49"/>
      <c r="B11" s="49"/>
      <c r="C11" s="49"/>
      <c r="D11" s="49"/>
      <c r="E11" s="49"/>
      <c r="F11" s="49"/>
      <c r="G11" s="4" t="s">
        <v>14</v>
      </c>
      <c r="H11" s="8">
        <f>IF(F13&gt;3, (1.0287*F13)/((F13+1.0293)^0.8083), (0.6208*F13)/((F13+0.0137)^0.5639))</f>
        <v>0.49600328948619327</v>
      </c>
      <c r="I11" s="7"/>
      <c r="J11" s="7"/>
    </row>
    <row r="12" spans="1:26" x14ac:dyDescent="0.25">
      <c r="A12" s="49"/>
      <c r="B12" s="49"/>
      <c r="C12" s="49"/>
      <c r="D12" s="49"/>
      <c r="E12" s="50"/>
      <c r="F12" s="50"/>
      <c r="G12" s="4" t="s">
        <v>15</v>
      </c>
      <c r="H12" s="8">
        <f>1-(0.3549*(F13^-0.4272)*(1-EXP(-0.005792*D15)))</f>
        <v>0.98593664857030106</v>
      </c>
      <c r="I12" s="7" t="s">
        <v>16</v>
      </c>
      <c r="J12" s="7"/>
    </row>
    <row r="13" spans="1:26" x14ac:dyDescent="0.25">
      <c r="A13" s="49"/>
      <c r="B13" s="49"/>
      <c r="C13" s="50"/>
      <c r="D13" s="50"/>
      <c r="E13" s="4" t="s">
        <v>17</v>
      </c>
      <c r="F13" s="45">
        <f>B5</f>
        <v>0.61499999999999999</v>
      </c>
      <c r="G13" s="7"/>
      <c r="H13" s="7"/>
      <c r="I13" s="7"/>
      <c r="J13" s="7"/>
    </row>
    <row r="14" spans="1:26" x14ac:dyDescent="0.25">
      <c r="A14" s="50"/>
      <c r="B14" s="50"/>
      <c r="C14" s="6" t="s">
        <v>18</v>
      </c>
      <c r="D14" s="5">
        <f>D15*100</f>
        <v>565</v>
      </c>
      <c r="E14" s="7"/>
      <c r="F14" s="7"/>
      <c r="G14" s="7"/>
      <c r="H14" s="7"/>
      <c r="I14" s="7"/>
      <c r="J14" s="7"/>
    </row>
    <row r="15" spans="1:26" x14ac:dyDescent="0.25">
      <c r="C15" s="6" t="s">
        <v>19</v>
      </c>
      <c r="D15" s="9">
        <v>5.65</v>
      </c>
    </row>
    <row r="17" spans="1:26" x14ac:dyDescent="0.25">
      <c r="C17" s="67" t="s">
        <v>116</v>
      </c>
      <c r="D17" s="53"/>
    </row>
    <row r="18" spans="1:26" x14ac:dyDescent="0.25">
      <c r="A18" s="43" t="s">
        <v>117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22" spans="1:26" x14ac:dyDescent="0.25">
      <c r="A22" s="48" t="s">
        <v>4</v>
      </c>
      <c r="B22" s="68">
        <v>0.56299999999999994</v>
      </c>
      <c r="C22" s="7"/>
      <c r="D22" s="7"/>
    </row>
    <row r="23" spans="1:26" x14ac:dyDescent="0.25">
      <c r="A23" s="50"/>
      <c r="B23" s="50"/>
      <c r="C23" s="7"/>
      <c r="D23" s="7"/>
    </row>
    <row r="24" spans="1:26" x14ac:dyDescent="0.25">
      <c r="A24" s="3"/>
      <c r="B24" s="3"/>
      <c r="C24" s="3"/>
    </row>
    <row r="25" spans="1:26" x14ac:dyDescent="0.25">
      <c r="A25" s="58" t="s">
        <v>7</v>
      </c>
      <c r="B25" s="69">
        <f>D25*D26*D31/360</f>
        <v>29.477418873028608</v>
      </c>
      <c r="C25" s="6" t="s">
        <v>8</v>
      </c>
      <c r="D25" s="5">
        <v>0.38</v>
      </c>
      <c r="E25" s="7"/>
      <c r="F25" s="7"/>
      <c r="G25" s="7"/>
      <c r="H25" s="7"/>
      <c r="I25" s="7"/>
      <c r="J25" s="7"/>
    </row>
    <row r="26" spans="1:26" x14ac:dyDescent="0.25">
      <c r="A26" s="49"/>
      <c r="B26" s="49"/>
      <c r="C26" s="58" t="s">
        <v>9</v>
      </c>
      <c r="D26" s="51">
        <f>F26/F30</f>
        <v>75.475610201211225</v>
      </c>
      <c r="E26" s="48" t="s">
        <v>10</v>
      </c>
      <c r="F26" s="51">
        <f>H26*H27*H28*H29</f>
        <v>42.492768543281919</v>
      </c>
      <c r="G26" s="4" t="s">
        <v>11</v>
      </c>
      <c r="H26" s="5">
        <v>90</v>
      </c>
      <c r="I26" s="7"/>
      <c r="J26" s="7"/>
    </row>
    <row r="27" spans="1:26" x14ac:dyDescent="0.25">
      <c r="A27" s="49"/>
      <c r="B27" s="49"/>
      <c r="C27" s="49"/>
      <c r="D27" s="49"/>
      <c r="E27" s="49"/>
      <c r="F27" s="49"/>
      <c r="G27" s="4" t="s">
        <v>12</v>
      </c>
      <c r="H27" s="8">
        <f>0.5786-0.4312*LOG(LN(J27/(J27-1)))</f>
        <v>1.0000212949130891</v>
      </c>
      <c r="I27" s="4" t="s">
        <v>13</v>
      </c>
      <c r="J27" s="5">
        <v>10</v>
      </c>
    </row>
    <row r="28" spans="1:26" x14ac:dyDescent="0.25">
      <c r="A28" s="49"/>
      <c r="B28" s="49"/>
      <c r="C28" s="49"/>
      <c r="D28" s="49"/>
      <c r="E28" s="49"/>
      <c r="F28" s="49"/>
      <c r="G28" s="4" t="s">
        <v>14</v>
      </c>
      <c r="H28" s="8">
        <f>IF(F30&gt;3, (1.0287*F30)/((F30+1.0293)^0.8083), (0.6208*F30)/((F30+0.0137)^0.5639))</f>
        <v>0.47671676521572431</v>
      </c>
      <c r="I28" s="7"/>
      <c r="J28" s="7"/>
    </row>
    <row r="29" spans="1:26" x14ac:dyDescent="0.25">
      <c r="A29" s="49"/>
      <c r="B29" s="49"/>
      <c r="C29" s="49"/>
      <c r="D29" s="49"/>
      <c r="E29" s="50"/>
      <c r="F29" s="50"/>
      <c r="G29" s="4" t="s">
        <v>15</v>
      </c>
      <c r="H29" s="8">
        <f>1-(0.3549*(F30^-0.4272)*(1-EXP(-0.005792*D32)))</f>
        <v>0.99038224192395896</v>
      </c>
      <c r="I29" s="7" t="s">
        <v>16</v>
      </c>
      <c r="J29" s="7"/>
    </row>
    <row r="30" spans="1:26" x14ac:dyDescent="0.25">
      <c r="A30" s="49"/>
      <c r="B30" s="49"/>
      <c r="C30" s="50"/>
      <c r="D30" s="50"/>
      <c r="E30" s="4" t="s">
        <v>17</v>
      </c>
      <c r="F30" s="45">
        <f>B22</f>
        <v>0.56299999999999994</v>
      </c>
      <c r="G30" s="7"/>
      <c r="H30" s="7"/>
      <c r="I30" s="7"/>
      <c r="J30" s="7"/>
    </row>
    <row r="31" spans="1:26" x14ac:dyDescent="0.25">
      <c r="A31" s="50"/>
      <c r="B31" s="50"/>
      <c r="C31" s="6" t="s">
        <v>18</v>
      </c>
      <c r="D31" s="5">
        <f>D32*100</f>
        <v>370</v>
      </c>
      <c r="E31" s="7"/>
      <c r="F31" s="7"/>
      <c r="G31" s="7"/>
      <c r="H31" s="7"/>
      <c r="I31" s="7"/>
      <c r="J31" s="7"/>
    </row>
    <row r="32" spans="1:26" x14ac:dyDescent="0.25">
      <c r="C32" s="6" t="s">
        <v>19</v>
      </c>
      <c r="D32" s="9">
        <v>3.7</v>
      </c>
    </row>
    <row r="34" spans="1:26" x14ac:dyDescent="0.25">
      <c r="C34" s="67" t="s">
        <v>116</v>
      </c>
      <c r="D34" s="53"/>
    </row>
    <row r="35" spans="1:26" x14ac:dyDescent="0.25">
      <c r="A35" s="43" t="s">
        <v>118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8" spans="1:26" x14ac:dyDescent="0.25">
      <c r="A38" s="48" t="s">
        <v>4</v>
      </c>
      <c r="B38" s="68">
        <v>0.68</v>
      </c>
      <c r="C38" s="7"/>
      <c r="D38" s="7"/>
    </row>
    <row r="39" spans="1:26" x14ac:dyDescent="0.25">
      <c r="A39" s="50"/>
      <c r="B39" s="50"/>
      <c r="C39" s="7"/>
      <c r="D39" s="7"/>
    </row>
    <row r="40" spans="1:26" x14ac:dyDescent="0.25">
      <c r="A40" s="3"/>
      <c r="B40" s="3"/>
      <c r="C40" s="3"/>
    </row>
    <row r="41" spans="1:26" x14ac:dyDescent="0.25">
      <c r="A41" s="58" t="s">
        <v>7</v>
      </c>
      <c r="B41" s="69">
        <f>D41*D42*D47/360</f>
        <v>32.384258903958369</v>
      </c>
      <c r="C41" s="6" t="s">
        <v>8</v>
      </c>
      <c r="D41" s="5">
        <v>0.31</v>
      </c>
      <c r="E41" s="7"/>
      <c r="F41" s="7"/>
      <c r="G41" s="7"/>
      <c r="H41" s="7"/>
      <c r="I41" s="7"/>
      <c r="J41" s="7"/>
    </row>
    <row r="42" spans="1:26" x14ac:dyDescent="0.25">
      <c r="A42" s="49"/>
      <c r="B42" s="49"/>
      <c r="C42" s="58" t="s">
        <v>9</v>
      </c>
      <c r="D42" s="51">
        <f>F42/F46</f>
        <v>39.58686996748731</v>
      </c>
      <c r="E42" s="48" t="s">
        <v>10</v>
      </c>
      <c r="F42" s="51">
        <f>H42*H43*H44*H45</f>
        <v>26.919071577891373</v>
      </c>
      <c r="G42" s="4" t="s">
        <v>11</v>
      </c>
      <c r="H42" s="5">
        <v>82</v>
      </c>
      <c r="I42" s="7"/>
      <c r="J42" s="7"/>
    </row>
    <row r="43" spans="1:26" x14ac:dyDescent="0.25">
      <c r="A43" s="49"/>
      <c r="B43" s="49"/>
      <c r="C43" s="49"/>
      <c r="D43" s="49"/>
      <c r="E43" s="49"/>
      <c r="F43" s="49"/>
      <c r="G43" s="4" t="s">
        <v>12</v>
      </c>
      <c r="H43" s="8">
        <f>0.5786-0.4312*LOG(LN(J43/(J43-1)))</f>
        <v>0.64723606119733634</v>
      </c>
      <c r="I43" s="4" t="s">
        <v>13</v>
      </c>
      <c r="J43" s="5">
        <v>2</v>
      </c>
    </row>
    <row r="44" spans="1:26" x14ac:dyDescent="0.25">
      <c r="A44" s="49"/>
      <c r="B44" s="49"/>
      <c r="C44" s="49"/>
      <c r="D44" s="49"/>
      <c r="E44" s="49"/>
      <c r="F44" s="49"/>
      <c r="G44" s="4" t="s">
        <v>14</v>
      </c>
      <c r="H44" s="8">
        <f>IF(F46&gt;3, (1.0287*F46)/((F46+1.0293)^0.8083), (0.6208*F46)/((F46+0.0137)^0.5639))</f>
        <v>0.51882859310680629</v>
      </c>
      <c r="I44" s="7"/>
      <c r="J44" s="7"/>
    </row>
    <row r="45" spans="1:26" x14ac:dyDescent="0.25">
      <c r="A45" s="49"/>
      <c r="B45" s="49"/>
      <c r="C45" s="49"/>
      <c r="D45" s="49"/>
      <c r="E45" s="50"/>
      <c r="F45" s="50"/>
      <c r="G45" s="4" t="s">
        <v>15</v>
      </c>
      <c r="H45" s="8">
        <f>1-(0.3549*(F46^-0.4272)*(1-EXP(-0.005792*D48)))</f>
        <v>0.97759645075669799</v>
      </c>
      <c r="I45" s="7" t="s">
        <v>16</v>
      </c>
      <c r="J45" s="7"/>
    </row>
    <row r="46" spans="1:26" x14ac:dyDescent="0.25">
      <c r="A46" s="49"/>
      <c r="B46" s="49"/>
      <c r="C46" s="50"/>
      <c r="D46" s="50"/>
      <c r="E46" s="4" t="s">
        <v>17</v>
      </c>
      <c r="F46" s="45">
        <f>B38</f>
        <v>0.68</v>
      </c>
      <c r="G46" s="7"/>
      <c r="H46" s="7"/>
      <c r="I46" s="7"/>
      <c r="J46" s="7"/>
    </row>
    <row r="47" spans="1:26" x14ac:dyDescent="0.25">
      <c r="A47" s="50"/>
      <c r="B47" s="50"/>
      <c r="C47" s="6" t="s">
        <v>18</v>
      </c>
      <c r="D47" s="5">
        <f>D48*100</f>
        <v>950</v>
      </c>
      <c r="E47" s="7"/>
      <c r="F47" s="7"/>
      <c r="G47" s="7"/>
      <c r="H47" s="7"/>
      <c r="I47" s="7"/>
      <c r="J47" s="7"/>
    </row>
    <row r="48" spans="1:26" x14ac:dyDescent="0.25">
      <c r="C48" s="6" t="s">
        <v>19</v>
      </c>
      <c r="D48" s="9">
        <v>9.5</v>
      </c>
    </row>
    <row r="50" spans="3:4" x14ac:dyDescent="0.25">
      <c r="C50" s="67" t="s">
        <v>116</v>
      </c>
      <c r="D50" s="53"/>
    </row>
  </sheetData>
  <mergeCells count="27">
    <mergeCell ref="A5:A6"/>
    <mergeCell ref="B5:B6"/>
    <mergeCell ref="A8:A14"/>
    <mergeCell ref="B8:B14"/>
    <mergeCell ref="C9:C13"/>
    <mergeCell ref="E9:E12"/>
    <mergeCell ref="F9:F12"/>
    <mergeCell ref="D26:D30"/>
    <mergeCell ref="E26:E29"/>
    <mergeCell ref="F26:F29"/>
    <mergeCell ref="D9:D13"/>
    <mergeCell ref="C17:D17"/>
    <mergeCell ref="A22:A23"/>
    <mergeCell ref="B22:B23"/>
    <mergeCell ref="B25:B31"/>
    <mergeCell ref="C26:C30"/>
    <mergeCell ref="C34:D34"/>
    <mergeCell ref="C50:D50"/>
    <mergeCell ref="E42:E45"/>
    <mergeCell ref="F42:F45"/>
    <mergeCell ref="A25:A31"/>
    <mergeCell ref="A38:A39"/>
    <mergeCell ref="B38:B39"/>
    <mergeCell ref="A41:A47"/>
    <mergeCell ref="B41:B47"/>
    <mergeCell ref="C42:C46"/>
    <mergeCell ref="D42:D4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T229"/>
  <sheetViews>
    <sheetView workbookViewId="0"/>
  </sheetViews>
  <sheetFormatPr baseColWidth="10" defaultColWidth="12.6640625" defaultRowHeight="15.75" customHeight="1" x14ac:dyDescent="0.25"/>
  <cols>
    <col min="1" max="1" width="21.33203125" customWidth="1"/>
    <col min="7" max="19" width="19.6640625" customWidth="1"/>
  </cols>
  <sheetData>
    <row r="4" spans="1:19" ht="13.2" x14ac:dyDescent="0.25">
      <c r="A4" s="3"/>
      <c r="B4" s="3"/>
      <c r="C4" s="3"/>
    </row>
    <row r="5" spans="1:19" ht="13.2" x14ac:dyDescent="0.25">
      <c r="A5" s="3" t="s">
        <v>56</v>
      </c>
      <c r="B5" s="3"/>
      <c r="C5" s="3"/>
      <c r="G5" s="15" t="s">
        <v>57</v>
      </c>
      <c r="H5" s="15" t="s">
        <v>58</v>
      </c>
      <c r="I5" s="15" t="s">
        <v>59</v>
      </c>
      <c r="J5" s="15" t="s">
        <v>60</v>
      </c>
      <c r="K5" s="15" t="s">
        <v>119</v>
      </c>
      <c r="L5" s="15" t="s">
        <v>62</v>
      </c>
      <c r="M5" s="15" t="s">
        <v>63</v>
      </c>
      <c r="N5" s="15" t="s">
        <v>64</v>
      </c>
      <c r="O5" s="15" t="s">
        <v>65</v>
      </c>
      <c r="P5" s="15" t="s">
        <v>66</v>
      </c>
      <c r="Q5" s="15" t="s">
        <v>67</v>
      </c>
      <c r="R5" s="15" t="s">
        <v>68</v>
      </c>
      <c r="S5" s="15" t="s">
        <v>69</v>
      </c>
    </row>
    <row r="6" spans="1:19" ht="15.75" customHeight="1" x14ac:dyDescent="0.3">
      <c r="A6" s="48" t="s">
        <v>4</v>
      </c>
      <c r="B6" s="64">
        <v>2.52</v>
      </c>
      <c r="F6" s="24">
        <v>1</v>
      </c>
      <c r="G6" s="18">
        <f>B6/7</f>
        <v>0.36</v>
      </c>
      <c r="H6" s="19">
        <f t="shared" ref="H6:H17" si="0">IF(G6&lt;=3,0.6208*G6/(G6+0.0137)^0.5639,1.0287*G6/(G6+1.0293)^0.8083)</f>
        <v>0.38932154137903335</v>
      </c>
      <c r="I6" s="18">
        <f t="shared" ref="I6:I17" si="1">0.5786-0.4312*LOG10(LN($B$12/($B$12-1)))</f>
        <v>1.1348218722269361</v>
      </c>
      <c r="J6" s="20">
        <f t="shared" ref="J6:J17" si="2">1-(0.3549*(G6^-0.4272))*(1-EXP(-0.005792*$B$8))</f>
        <v>0.94563587585683673</v>
      </c>
      <c r="K6" s="18">
        <f t="shared" ref="K6:K17" si="3">$B$14</f>
        <v>88</v>
      </c>
      <c r="L6" s="19">
        <f t="shared" ref="L6:L17" si="4">H6*I6*J6*K6</f>
        <v>36.765691965502995</v>
      </c>
      <c r="M6" s="19">
        <f>L6</f>
        <v>36.765691965502995</v>
      </c>
      <c r="N6" s="19">
        <f>M17</f>
        <v>3.4729573214714264</v>
      </c>
      <c r="O6" s="19">
        <f>N6</f>
        <v>3.4729573214714264</v>
      </c>
      <c r="P6" s="18">
        <f t="shared" ref="P6:P17" si="5">IF(O6&lt;=$B$22,0,(O6-$B$22)^2/(O6+0.8*$B$20))</f>
        <v>0</v>
      </c>
      <c r="Q6" s="18">
        <f>P6</f>
        <v>0</v>
      </c>
      <c r="R6" s="19">
        <f t="shared" ref="R6:R17" si="6">IF((N6-Q6)&gt;$B$16*$G$6,N6-Q6,$B$16*$G$6)</f>
        <v>3.4729573214714264</v>
      </c>
      <c r="S6" s="19">
        <f t="shared" ref="S6:S17" si="7">N6-R6</f>
        <v>0</v>
      </c>
    </row>
    <row r="7" spans="1:19" ht="15.75" customHeight="1" x14ac:dyDescent="0.3">
      <c r="A7" s="50"/>
      <c r="B7" s="50"/>
      <c r="F7" s="24">
        <v>2</v>
      </c>
      <c r="G7" s="18">
        <f>G6*2</f>
        <v>0.72</v>
      </c>
      <c r="H7" s="19">
        <f t="shared" si="0"/>
        <v>0.53225323750453069</v>
      </c>
      <c r="I7" s="18">
        <f t="shared" si="1"/>
        <v>1.1348218722269361</v>
      </c>
      <c r="J7" s="20">
        <f t="shared" si="2"/>
        <v>0.95956919565909349</v>
      </c>
      <c r="K7" s="18">
        <f t="shared" si="3"/>
        <v>88</v>
      </c>
      <c r="L7" s="19">
        <f t="shared" si="4"/>
        <v>51.004087165475603</v>
      </c>
      <c r="M7" s="19">
        <f t="shared" ref="M7:M17" si="8">L7-L6</f>
        <v>14.238395199972608</v>
      </c>
      <c r="N7" s="19">
        <f>M15</f>
        <v>4.2053996882614371</v>
      </c>
      <c r="O7" s="19">
        <f>SUM(N6:N7)</f>
        <v>7.6783570097328635</v>
      </c>
      <c r="P7" s="18">
        <f t="shared" si="5"/>
        <v>0</v>
      </c>
      <c r="Q7" s="18">
        <f t="shared" ref="Q7:Q17" si="9">P7-P6</f>
        <v>0</v>
      </c>
      <c r="R7" s="19">
        <f t="shared" si="6"/>
        <v>4.2053996882614371</v>
      </c>
      <c r="S7" s="19">
        <f t="shared" si="7"/>
        <v>0</v>
      </c>
    </row>
    <row r="8" spans="1:19" ht="15.75" customHeight="1" x14ac:dyDescent="0.3">
      <c r="A8" s="48" t="s">
        <v>70</v>
      </c>
      <c r="B8" s="64">
        <v>18</v>
      </c>
      <c r="C8" s="3"/>
      <c r="F8" s="24">
        <v>3</v>
      </c>
      <c r="G8" s="18">
        <f>G6*3</f>
        <v>1.08</v>
      </c>
      <c r="H8" s="19">
        <f t="shared" si="0"/>
        <v>0.63744212754802343</v>
      </c>
      <c r="I8" s="18">
        <f t="shared" si="1"/>
        <v>1.1348218722269361</v>
      </c>
      <c r="J8" s="20">
        <f t="shared" si="2"/>
        <v>0.96599943017868728</v>
      </c>
      <c r="K8" s="18">
        <f t="shared" si="3"/>
        <v>88</v>
      </c>
      <c r="L8" s="19">
        <f t="shared" si="4"/>
        <v>61.493328625350436</v>
      </c>
      <c r="M8" s="19">
        <f t="shared" si="8"/>
        <v>10.489241459874833</v>
      </c>
      <c r="N8" s="19">
        <f>M13</f>
        <v>5.5797035355598013</v>
      </c>
      <c r="O8" s="19">
        <f>SUM(N6:N8)</f>
        <v>13.258060545292665</v>
      </c>
      <c r="P8" s="18">
        <f t="shared" si="5"/>
        <v>0</v>
      </c>
      <c r="Q8" s="18">
        <f t="shared" si="9"/>
        <v>0</v>
      </c>
      <c r="R8" s="19">
        <f t="shared" si="6"/>
        <v>5.5797035355598013</v>
      </c>
      <c r="S8" s="19">
        <f t="shared" si="7"/>
        <v>0</v>
      </c>
    </row>
    <row r="9" spans="1:19" ht="15.75" customHeight="1" x14ac:dyDescent="0.3">
      <c r="A9" s="50"/>
      <c r="B9" s="50"/>
      <c r="F9" s="24">
        <v>4</v>
      </c>
      <c r="G9" s="18">
        <f>G6*4</f>
        <v>1.44</v>
      </c>
      <c r="H9" s="19">
        <f t="shared" si="0"/>
        <v>0.72392681895544053</v>
      </c>
      <c r="I9" s="18">
        <f t="shared" si="1"/>
        <v>1.1348218722269361</v>
      </c>
      <c r="J9" s="20">
        <f t="shared" si="2"/>
        <v>0.96993145819202464</v>
      </c>
      <c r="K9" s="18">
        <f t="shared" si="3"/>
        <v>88</v>
      </c>
      <c r="L9" s="19">
        <f t="shared" si="4"/>
        <v>70.120673866093952</v>
      </c>
      <c r="M9" s="19">
        <f t="shared" si="8"/>
        <v>8.6273452407435158</v>
      </c>
      <c r="N9" s="19">
        <f>M11</f>
        <v>6.6576436294416226</v>
      </c>
      <c r="O9" s="19">
        <f>SUM(N6:N9)</f>
        <v>19.915704174734287</v>
      </c>
      <c r="P9" s="18">
        <f t="shared" si="5"/>
        <v>0</v>
      </c>
      <c r="Q9" s="18">
        <f t="shared" si="9"/>
        <v>0</v>
      </c>
      <c r="R9" s="19">
        <f t="shared" si="6"/>
        <v>6.6576436294416226</v>
      </c>
      <c r="S9" s="19">
        <f t="shared" si="7"/>
        <v>0</v>
      </c>
    </row>
    <row r="10" spans="1:19" ht="15.75" customHeight="1" x14ac:dyDescent="0.3">
      <c r="A10" s="48" t="s">
        <v>71</v>
      </c>
      <c r="B10" s="51">
        <f>B6*12/7</f>
        <v>4.32</v>
      </c>
      <c r="F10" s="24">
        <v>5</v>
      </c>
      <c r="G10" s="18">
        <f>G6*5</f>
        <v>1.7999999999999998</v>
      </c>
      <c r="H10" s="19">
        <f t="shared" si="0"/>
        <v>0.79876523459659177</v>
      </c>
      <c r="I10" s="18">
        <f t="shared" si="1"/>
        <v>1.1348218722269361</v>
      </c>
      <c r="J10" s="20">
        <f t="shared" si="2"/>
        <v>0.97266541972279685</v>
      </c>
      <c r="K10" s="18">
        <f t="shared" si="3"/>
        <v>88</v>
      </c>
      <c r="L10" s="19">
        <f t="shared" si="4"/>
        <v>77.587721870157694</v>
      </c>
      <c r="M10" s="19">
        <f t="shared" si="8"/>
        <v>7.4670480040637415</v>
      </c>
      <c r="N10" s="19">
        <f>M9</f>
        <v>8.6273452407435158</v>
      </c>
      <c r="O10" s="19">
        <f>SUM(N6:N10)</f>
        <v>28.543049415477803</v>
      </c>
      <c r="P10" s="18">
        <f t="shared" si="5"/>
        <v>0.27301364984811005</v>
      </c>
      <c r="Q10" s="18">
        <f t="shared" si="9"/>
        <v>0.27301364984811005</v>
      </c>
      <c r="R10" s="19">
        <f t="shared" si="6"/>
        <v>8.3543315908954057</v>
      </c>
      <c r="S10" s="19">
        <f t="shared" si="7"/>
        <v>0.27301364984811016</v>
      </c>
    </row>
    <row r="11" spans="1:19" ht="15.75" customHeight="1" x14ac:dyDescent="0.3">
      <c r="A11" s="50"/>
      <c r="B11" s="50"/>
      <c r="F11" s="24">
        <v>6</v>
      </c>
      <c r="G11" s="18">
        <f>G6*6</f>
        <v>2.16</v>
      </c>
      <c r="H11" s="19">
        <f t="shared" si="0"/>
        <v>0.86548311984932202</v>
      </c>
      <c r="I11" s="18">
        <f t="shared" si="1"/>
        <v>1.1348218722269361</v>
      </c>
      <c r="J11" s="20">
        <f t="shared" si="2"/>
        <v>0.9747136478773254</v>
      </c>
      <c r="K11" s="18">
        <f t="shared" si="3"/>
        <v>88</v>
      </c>
      <c r="L11" s="19">
        <f t="shared" si="4"/>
        <v>84.245365499599316</v>
      </c>
      <c r="M11" s="19">
        <f t="shared" si="8"/>
        <v>6.6576436294416226</v>
      </c>
      <c r="N11" s="19">
        <f>M7</f>
        <v>14.238395199972608</v>
      </c>
      <c r="O11" s="19">
        <f>SUM(N6:N11)</f>
        <v>42.781444615450411</v>
      </c>
      <c r="P11" s="18">
        <f t="shared" si="5"/>
        <v>2.9709817113444394</v>
      </c>
      <c r="Q11" s="18">
        <f t="shared" si="9"/>
        <v>2.6979680614963293</v>
      </c>
      <c r="R11" s="19">
        <f t="shared" si="6"/>
        <v>11.540427138476279</v>
      </c>
      <c r="S11" s="19">
        <f t="shared" si="7"/>
        <v>2.6979680614963293</v>
      </c>
    </row>
    <row r="12" spans="1:19" ht="15.75" customHeight="1" x14ac:dyDescent="0.3">
      <c r="A12" s="48" t="s">
        <v>72</v>
      </c>
      <c r="B12" s="63">
        <v>20</v>
      </c>
      <c r="F12" s="24">
        <v>7</v>
      </c>
      <c r="G12" s="21">
        <f>G6*7</f>
        <v>2.52</v>
      </c>
      <c r="H12" s="22">
        <f t="shared" si="0"/>
        <v>0.92613585182955316</v>
      </c>
      <c r="I12" s="21">
        <f t="shared" si="1"/>
        <v>1.1348218722269361</v>
      </c>
      <c r="J12" s="23">
        <f t="shared" si="2"/>
        <v>0.97632518942536661</v>
      </c>
      <c r="K12" s="21">
        <f t="shared" si="3"/>
        <v>88</v>
      </c>
      <c r="L12" s="22">
        <f t="shared" si="4"/>
        <v>90.298297217137446</v>
      </c>
      <c r="M12" s="22">
        <f t="shared" si="8"/>
        <v>6.0529317175381294</v>
      </c>
      <c r="N12" s="22">
        <f>M6</f>
        <v>36.765691965502995</v>
      </c>
      <c r="O12" s="22">
        <f>SUM(N6:N12)</f>
        <v>79.547136580953406</v>
      </c>
      <c r="P12" s="21">
        <f t="shared" si="5"/>
        <v>18.834045682966675</v>
      </c>
      <c r="Q12" s="21">
        <f t="shared" si="9"/>
        <v>15.863063971622235</v>
      </c>
      <c r="R12" s="21">
        <f t="shared" si="6"/>
        <v>20.90262799388076</v>
      </c>
      <c r="S12" s="22">
        <f t="shared" si="7"/>
        <v>15.863063971622235</v>
      </c>
    </row>
    <row r="13" spans="1:19" ht="15.75" customHeight="1" x14ac:dyDescent="0.3">
      <c r="A13" s="50"/>
      <c r="B13" s="50"/>
      <c r="F13" s="24">
        <v>8</v>
      </c>
      <c r="G13" s="18">
        <f>G6*8</f>
        <v>2.88</v>
      </c>
      <c r="H13" s="19">
        <f t="shared" si="0"/>
        <v>0.98204313703579382</v>
      </c>
      <c r="I13" s="18">
        <f t="shared" si="1"/>
        <v>1.1348218722269361</v>
      </c>
      <c r="J13" s="20">
        <f t="shared" si="2"/>
        <v>0.97763791195360406</v>
      </c>
      <c r="K13" s="18">
        <f t="shared" si="3"/>
        <v>88</v>
      </c>
      <c r="L13" s="19">
        <f t="shared" si="4"/>
        <v>95.878000752697247</v>
      </c>
      <c r="M13" s="19">
        <f t="shared" si="8"/>
        <v>5.5797035355598013</v>
      </c>
      <c r="N13" s="19">
        <f>M8</f>
        <v>10.489241459874833</v>
      </c>
      <c r="O13" s="19">
        <f>SUM(N6:N13)</f>
        <v>90.036378040828239</v>
      </c>
      <c r="P13" s="18">
        <f t="shared" si="5"/>
        <v>24.91388349713883</v>
      </c>
      <c r="Q13" s="18">
        <f t="shared" si="9"/>
        <v>6.079837814172155</v>
      </c>
      <c r="R13" s="19">
        <f t="shared" si="6"/>
        <v>4.4094036457026782</v>
      </c>
      <c r="S13" s="19">
        <f t="shared" si="7"/>
        <v>6.079837814172155</v>
      </c>
    </row>
    <row r="14" spans="1:19" ht="15.75" customHeight="1" x14ac:dyDescent="0.3">
      <c r="A14" s="48" t="s">
        <v>73</v>
      </c>
      <c r="B14" s="63">
        <v>88</v>
      </c>
      <c r="F14" s="24">
        <v>9</v>
      </c>
      <c r="G14" s="18">
        <f>G6*9</f>
        <v>3.2399999999999998</v>
      </c>
      <c r="H14" s="19">
        <f t="shared" si="0"/>
        <v>1.0311371903009727</v>
      </c>
      <c r="I14" s="18">
        <f t="shared" si="1"/>
        <v>1.1348218722269361</v>
      </c>
      <c r="J14" s="20">
        <f t="shared" si="2"/>
        <v>0.9787352639926723</v>
      </c>
      <c r="K14" s="18">
        <f t="shared" si="3"/>
        <v>88</v>
      </c>
      <c r="L14" s="19">
        <f t="shared" si="4"/>
        <v>100.78410815836655</v>
      </c>
      <c r="M14" s="19">
        <f t="shared" si="8"/>
        <v>4.906107405669303</v>
      </c>
      <c r="N14" s="19">
        <f>M10</f>
        <v>7.4670480040637415</v>
      </c>
      <c r="O14" s="19">
        <f>SUM(N6:N14)</f>
        <v>97.503426044891981</v>
      </c>
      <c r="P14" s="18">
        <f t="shared" si="5"/>
        <v>29.540523031963687</v>
      </c>
      <c r="Q14" s="18">
        <f t="shared" si="9"/>
        <v>4.6266395348248572</v>
      </c>
      <c r="R14" s="19">
        <f t="shared" si="6"/>
        <v>2.8404084692388842</v>
      </c>
      <c r="S14" s="19">
        <f t="shared" si="7"/>
        <v>4.6266395348248572</v>
      </c>
    </row>
    <row r="15" spans="1:19" ht="15.75" customHeight="1" x14ac:dyDescent="0.3">
      <c r="A15" s="50"/>
      <c r="B15" s="50"/>
      <c r="F15" s="24">
        <v>10</v>
      </c>
      <c r="G15" s="18">
        <f>G6*10</f>
        <v>3.5999999999999996</v>
      </c>
      <c r="H15" s="19">
        <f t="shared" si="0"/>
        <v>1.0731370833332663</v>
      </c>
      <c r="I15" s="18">
        <f t="shared" si="1"/>
        <v>1.1348218722269361</v>
      </c>
      <c r="J15" s="20">
        <f t="shared" si="2"/>
        <v>0.97967116946429489</v>
      </c>
      <c r="K15" s="18">
        <f t="shared" si="3"/>
        <v>88</v>
      </c>
      <c r="L15" s="19">
        <f t="shared" si="4"/>
        <v>104.98950784662799</v>
      </c>
      <c r="M15" s="19">
        <f t="shared" si="8"/>
        <v>4.2053996882614371</v>
      </c>
      <c r="N15" s="19">
        <f>M12</f>
        <v>6.0529317175381294</v>
      </c>
      <c r="O15" s="19">
        <f>SUM(N6:N15)</f>
        <v>103.55635776243011</v>
      </c>
      <c r="P15" s="18">
        <f t="shared" si="5"/>
        <v>33.450728042929406</v>
      </c>
      <c r="Q15" s="18">
        <f t="shared" si="9"/>
        <v>3.9102050109657185</v>
      </c>
      <c r="R15" s="19">
        <f t="shared" si="6"/>
        <v>2.1427267065724109</v>
      </c>
      <c r="S15" s="19">
        <f t="shared" si="7"/>
        <v>3.9102050109657185</v>
      </c>
    </row>
    <row r="16" spans="1:19" ht="15.75" customHeight="1" x14ac:dyDescent="0.3">
      <c r="A16" s="48" t="s">
        <v>74</v>
      </c>
      <c r="B16" s="63">
        <v>2.4</v>
      </c>
      <c r="C16" s="4" t="s">
        <v>75</v>
      </c>
      <c r="D16" s="4" t="s">
        <v>76</v>
      </c>
      <c r="F16" s="24">
        <v>11</v>
      </c>
      <c r="G16" s="18">
        <f>G6*11</f>
        <v>3.96</v>
      </c>
      <c r="H16" s="19">
        <f t="shared" si="0"/>
        <v>1.1111136995952944</v>
      </c>
      <c r="I16" s="18">
        <f t="shared" si="1"/>
        <v>1.1348218722269361</v>
      </c>
      <c r="J16" s="20">
        <f t="shared" si="2"/>
        <v>0.9804822639521058</v>
      </c>
      <c r="K16" s="18">
        <f t="shared" si="3"/>
        <v>88</v>
      </c>
      <c r="L16" s="19">
        <f t="shared" si="4"/>
        <v>108.794919257258</v>
      </c>
      <c r="M16" s="19">
        <f t="shared" si="8"/>
        <v>3.8054114106300148</v>
      </c>
      <c r="N16" s="19">
        <f>M14</f>
        <v>4.906107405669303</v>
      </c>
      <c r="O16" s="19">
        <f>SUM(N6:N16)</f>
        <v>108.46246516809941</v>
      </c>
      <c r="P16" s="18">
        <f t="shared" si="5"/>
        <v>36.715364778695239</v>
      </c>
      <c r="Q16" s="18">
        <f t="shared" si="9"/>
        <v>3.2646367357658335</v>
      </c>
      <c r="R16" s="19">
        <f t="shared" si="6"/>
        <v>1.6414706699034696</v>
      </c>
      <c r="S16" s="19">
        <f t="shared" si="7"/>
        <v>3.2646367357658335</v>
      </c>
    </row>
    <row r="17" spans="1:19" ht="15.75" customHeight="1" x14ac:dyDescent="0.3">
      <c r="A17" s="50"/>
      <c r="B17" s="50"/>
      <c r="C17" s="4" t="s">
        <v>77</v>
      </c>
      <c r="D17" s="4" t="s">
        <v>78</v>
      </c>
      <c r="F17" s="24">
        <v>12</v>
      </c>
      <c r="G17" s="18">
        <f>G6*12</f>
        <v>4.32</v>
      </c>
      <c r="H17" s="19">
        <f t="shared" si="0"/>
        <v>1.1457505071317655</v>
      </c>
      <c r="I17" s="18">
        <f t="shared" si="1"/>
        <v>1.1348218722269361</v>
      </c>
      <c r="J17" s="20">
        <f t="shared" si="2"/>
        <v>0.98119444447454252</v>
      </c>
      <c r="K17" s="18">
        <f t="shared" si="3"/>
        <v>88</v>
      </c>
      <c r="L17" s="19">
        <f t="shared" si="4"/>
        <v>112.26787657872943</v>
      </c>
      <c r="M17" s="19">
        <f t="shared" si="8"/>
        <v>3.4729573214714264</v>
      </c>
      <c r="N17" s="19">
        <f>M16</f>
        <v>3.8054114106300148</v>
      </c>
      <c r="O17" s="19">
        <f>SUM(N6:N17)</f>
        <v>112.26787657872943</v>
      </c>
      <c r="P17" s="18">
        <f t="shared" si="5"/>
        <v>39.302060690307911</v>
      </c>
      <c r="Q17" s="18">
        <f t="shared" si="9"/>
        <v>2.5866959116126722</v>
      </c>
      <c r="R17" s="19">
        <f t="shared" si="6"/>
        <v>1.2187154990173426</v>
      </c>
      <c r="S17" s="19">
        <f t="shared" si="7"/>
        <v>2.5866959116126722</v>
      </c>
    </row>
    <row r="18" spans="1:19" ht="13.2" x14ac:dyDescent="0.25">
      <c r="A18" s="48" t="s">
        <v>79</v>
      </c>
      <c r="B18" s="63">
        <v>69</v>
      </c>
      <c r="G18" s="3"/>
      <c r="H18" s="3"/>
      <c r="I18" s="3"/>
      <c r="J18" s="3"/>
      <c r="K18" s="3"/>
      <c r="L18" s="3"/>
      <c r="M18" s="3"/>
      <c r="N18" s="3"/>
    </row>
    <row r="19" spans="1:19" ht="13.2" x14ac:dyDescent="0.25">
      <c r="A19" s="50"/>
      <c r="B19" s="50"/>
      <c r="G19" s="3"/>
      <c r="H19" s="3"/>
      <c r="I19" s="3"/>
      <c r="J19" s="3"/>
      <c r="K19" s="3"/>
      <c r="L19" s="3"/>
      <c r="M19" s="3"/>
      <c r="N19" s="3"/>
      <c r="O19" s="24" t="s">
        <v>80</v>
      </c>
    </row>
    <row r="20" spans="1:19" ht="13.2" x14ac:dyDescent="0.25">
      <c r="A20" s="48" t="s">
        <v>81</v>
      </c>
      <c r="B20" s="61">
        <f>25.4*((1000/B18)-10)</f>
        <v>114.11594202898551</v>
      </c>
      <c r="C20" s="24" t="s">
        <v>82</v>
      </c>
      <c r="G20" s="3"/>
      <c r="H20" s="3"/>
      <c r="I20" s="3"/>
      <c r="J20" s="3"/>
      <c r="K20" s="3"/>
      <c r="L20" s="3"/>
      <c r="M20" s="3"/>
      <c r="N20" s="3"/>
    </row>
    <row r="21" spans="1:19" ht="13.2" x14ac:dyDescent="0.25">
      <c r="A21" s="50"/>
      <c r="B21" s="50"/>
      <c r="G21" s="3"/>
      <c r="H21" s="3"/>
      <c r="I21" s="3"/>
      <c r="J21" s="3"/>
      <c r="K21" s="3"/>
      <c r="L21" s="3"/>
      <c r="M21" s="3"/>
      <c r="N21" s="3"/>
    </row>
    <row r="22" spans="1:19" ht="13.2" x14ac:dyDescent="0.25">
      <c r="A22" s="48" t="s">
        <v>83</v>
      </c>
      <c r="B22" s="61">
        <f>0.2*B20</f>
        <v>22.823188405797104</v>
      </c>
      <c r="C22" s="24" t="s">
        <v>84</v>
      </c>
      <c r="G22" s="3"/>
      <c r="H22" s="3"/>
      <c r="I22" s="3"/>
      <c r="J22" s="3"/>
      <c r="K22" s="3"/>
      <c r="L22" s="3"/>
      <c r="M22" s="3"/>
      <c r="N22" s="3"/>
    </row>
    <row r="23" spans="1:19" ht="13.2" x14ac:dyDescent="0.25">
      <c r="A23" s="50"/>
      <c r="B23" s="50"/>
    </row>
    <row r="38" spans="1:20" ht="13.2" x14ac:dyDescent="0.25">
      <c r="A38" s="62" t="s">
        <v>85</v>
      </c>
      <c r="B38" s="53"/>
      <c r="C38" s="53"/>
    </row>
    <row r="40" spans="1:20" ht="13.2" x14ac:dyDescent="0.25">
      <c r="A40" s="48" t="s">
        <v>114</v>
      </c>
      <c r="B40" s="61">
        <f>B6/7</f>
        <v>0.36</v>
      </c>
      <c r="D40" s="15" t="s">
        <v>87</v>
      </c>
      <c r="E40" s="14" t="s">
        <v>88</v>
      </c>
      <c r="F40" s="14" t="s">
        <v>89</v>
      </c>
      <c r="G40" s="14" t="s">
        <v>90</v>
      </c>
      <c r="H40" s="14" t="s">
        <v>91</v>
      </c>
      <c r="I40" s="14" t="s">
        <v>92</v>
      </c>
      <c r="J40" s="14" t="s">
        <v>93</v>
      </c>
      <c r="K40" s="14" t="s">
        <v>94</v>
      </c>
      <c r="L40" s="14" t="s">
        <v>95</v>
      </c>
      <c r="M40" s="14" t="s">
        <v>96</v>
      </c>
      <c r="N40" s="14" t="s">
        <v>97</v>
      </c>
      <c r="O40" s="14" t="s">
        <v>98</v>
      </c>
      <c r="P40" s="14" t="s">
        <v>99</v>
      </c>
      <c r="Q40" s="14" t="s">
        <v>100</v>
      </c>
      <c r="R40" s="14" t="s">
        <v>101</v>
      </c>
      <c r="S40" s="25" t="s">
        <v>102</v>
      </c>
      <c r="T40" s="26" t="s">
        <v>103</v>
      </c>
    </row>
    <row r="41" spans="1:20" ht="13.2" x14ac:dyDescent="0.25">
      <c r="A41" s="50"/>
      <c r="B41" s="50"/>
      <c r="D41" s="25">
        <v>0</v>
      </c>
      <c r="E41" s="27">
        <f t="shared" ref="E41:E141" si="10">D41*($B$40/8)</f>
        <v>0</v>
      </c>
      <c r="F41" s="28">
        <f t="shared" ref="F41:F141" si="11">IF($B$42&gt;E41,$C$48*E41,$C$50*E41+$C$51)</f>
        <v>0</v>
      </c>
      <c r="G41" s="29">
        <f t="shared" ref="G41:G141" si="12">$S$6*F41</f>
        <v>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28">
        <f t="shared" ref="S41:S229" si="13">SUM(G41:R41)</f>
        <v>0</v>
      </c>
      <c r="T41" s="31">
        <f>MAX(S41:S229)</f>
        <v>65.387253900583531</v>
      </c>
    </row>
    <row r="42" spans="1:20" ht="13.2" x14ac:dyDescent="0.25">
      <c r="A42" s="48" t="s">
        <v>104</v>
      </c>
      <c r="B42" s="61">
        <f>B40/2+0.6*$B$6</f>
        <v>1.6919999999999999</v>
      </c>
      <c r="D42" s="32">
        <v>1</v>
      </c>
      <c r="E42" s="27">
        <f t="shared" si="10"/>
        <v>4.4999999999999998E-2</v>
      </c>
      <c r="F42" s="28">
        <f t="shared" si="11"/>
        <v>5.8850158442734259E-2</v>
      </c>
      <c r="G42" s="29">
        <f t="shared" si="12"/>
        <v>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3">
        <f t="shared" si="13"/>
        <v>0</v>
      </c>
    </row>
    <row r="43" spans="1:20" ht="13.2" x14ac:dyDescent="0.25">
      <c r="A43" s="50"/>
      <c r="B43" s="50"/>
      <c r="D43" s="32">
        <v>2</v>
      </c>
      <c r="E43" s="27">
        <f t="shared" si="10"/>
        <v>0.09</v>
      </c>
      <c r="F43" s="28">
        <f t="shared" si="11"/>
        <v>0.11770031688546852</v>
      </c>
      <c r="G43" s="29">
        <f t="shared" si="12"/>
        <v>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3">
        <f t="shared" si="13"/>
        <v>0</v>
      </c>
    </row>
    <row r="44" spans="1:20" ht="13.2" x14ac:dyDescent="0.25">
      <c r="A44" s="48" t="s">
        <v>105</v>
      </c>
      <c r="B44" s="61">
        <f>B42*2.667</f>
        <v>4.5125639999999994</v>
      </c>
      <c r="D44" s="32">
        <v>3</v>
      </c>
      <c r="E44" s="27">
        <f t="shared" si="10"/>
        <v>0.13500000000000001</v>
      </c>
      <c r="F44" s="28">
        <f t="shared" si="11"/>
        <v>0.17655047532820278</v>
      </c>
      <c r="G44" s="29">
        <f t="shared" si="12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3">
        <f t="shared" si="13"/>
        <v>0</v>
      </c>
    </row>
    <row r="45" spans="1:20" ht="13.2" x14ac:dyDescent="0.25">
      <c r="A45" s="50"/>
      <c r="B45" s="50"/>
      <c r="D45" s="32">
        <v>4</v>
      </c>
      <c r="E45" s="27">
        <f t="shared" si="10"/>
        <v>0.18</v>
      </c>
      <c r="F45" s="28">
        <f t="shared" si="11"/>
        <v>0.23540063377093703</v>
      </c>
      <c r="G45" s="29">
        <f t="shared" si="12"/>
        <v>0</v>
      </c>
      <c r="H45" s="34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3">
        <f t="shared" si="13"/>
        <v>0</v>
      </c>
    </row>
    <row r="46" spans="1:20" ht="13.2" x14ac:dyDescent="0.25">
      <c r="A46" s="48" t="s">
        <v>106</v>
      </c>
      <c r="B46" s="61">
        <f>2.08*B8/B42</f>
        <v>22.127659574468083</v>
      </c>
      <c r="D46" s="32">
        <v>5</v>
      </c>
      <c r="E46" s="27">
        <f t="shared" si="10"/>
        <v>0.22499999999999998</v>
      </c>
      <c r="F46" s="28">
        <f t="shared" si="11"/>
        <v>0.29425079221367129</v>
      </c>
      <c r="G46" s="29">
        <f t="shared" si="12"/>
        <v>0</v>
      </c>
      <c r="H46" s="34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3">
        <f t="shared" si="13"/>
        <v>0</v>
      </c>
    </row>
    <row r="47" spans="1:20" ht="13.2" x14ac:dyDescent="0.25">
      <c r="A47" s="50"/>
      <c r="B47" s="50"/>
      <c r="D47" s="32">
        <v>6</v>
      </c>
      <c r="E47" s="27">
        <f t="shared" si="10"/>
        <v>0.27</v>
      </c>
      <c r="F47" s="28">
        <f t="shared" si="11"/>
        <v>0.35310095065640557</v>
      </c>
      <c r="G47" s="29">
        <f t="shared" si="12"/>
        <v>0</v>
      </c>
      <c r="H47" s="34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3">
        <f t="shared" si="13"/>
        <v>0</v>
      </c>
    </row>
    <row r="48" spans="1:20" ht="13.2" x14ac:dyDescent="0.25">
      <c r="A48" s="48" t="s">
        <v>107</v>
      </c>
      <c r="B48" s="35" t="s">
        <v>108</v>
      </c>
      <c r="C48" s="36">
        <f>(B46/10)/B42</f>
        <v>1.307781298727428</v>
      </c>
      <c r="D48" s="32">
        <v>7</v>
      </c>
      <c r="E48" s="27">
        <f t="shared" si="10"/>
        <v>0.315</v>
      </c>
      <c r="F48" s="28">
        <f t="shared" si="11"/>
        <v>0.41195110909913984</v>
      </c>
      <c r="G48" s="29">
        <f t="shared" si="12"/>
        <v>0</v>
      </c>
      <c r="H48" s="34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3">
        <f t="shared" si="13"/>
        <v>0</v>
      </c>
    </row>
    <row r="49" spans="1:19" ht="13.2" x14ac:dyDescent="0.25">
      <c r="A49" s="50"/>
      <c r="B49" s="35" t="s">
        <v>109</v>
      </c>
      <c r="C49" s="36">
        <v>0</v>
      </c>
      <c r="D49" s="32">
        <v>8</v>
      </c>
      <c r="E49" s="27">
        <f t="shared" si="10"/>
        <v>0.36</v>
      </c>
      <c r="F49" s="28">
        <f t="shared" si="11"/>
        <v>0.47080126754187407</v>
      </c>
      <c r="G49" s="29">
        <f t="shared" si="12"/>
        <v>0</v>
      </c>
      <c r="H49" s="34">
        <f t="shared" ref="H49:H149" si="14">F41*$S$7</f>
        <v>0</v>
      </c>
      <c r="I49" s="34"/>
      <c r="J49" s="30"/>
      <c r="K49" s="30"/>
      <c r="L49" s="30"/>
      <c r="M49" s="30"/>
      <c r="N49" s="30"/>
      <c r="O49" s="30"/>
      <c r="P49" s="30"/>
      <c r="Q49" s="30"/>
      <c r="R49" s="30"/>
      <c r="S49" s="33">
        <f t="shared" si="13"/>
        <v>0</v>
      </c>
    </row>
    <row r="50" spans="1:19" ht="13.2" x14ac:dyDescent="0.25">
      <c r="A50" s="48" t="s">
        <v>110</v>
      </c>
      <c r="B50" s="35" t="s">
        <v>111</v>
      </c>
      <c r="C50" s="36">
        <f>-(B46/10)/(1.67*B42)</f>
        <v>-0.78310257408828021</v>
      </c>
      <c r="D50" s="32">
        <v>9</v>
      </c>
      <c r="E50" s="27">
        <f t="shared" si="10"/>
        <v>0.40499999999999997</v>
      </c>
      <c r="F50" s="28">
        <f t="shared" si="11"/>
        <v>0.52965142598460835</v>
      </c>
      <c r="G50" s="29">
        <f t="shared" si="12"/>
        <v>0</v>
      </c>
      <c r="H50" s="34">
        <f t="shared" si="14"/>
        <v>0</v>
      </c>
      <c r="I50" s="34"/>
      <c r="J50" s="30"/>
      <c r="K50" s="30"/>
      <c r="L50" s="30"/>
      <c r="M50" s="30"/>
      <c r="N50" s="30"/>
      <c r="O50" s="30"/>
      <c r="P50" s="30"/>
      <c r="Q50" s="30"/>
      <c r="R50" s="30"/>
      <c r="S50" s="33">
        <f t="shared" si="13"/>
        <v>0</v>
      </c>
    </row>
    <row r="51" spans="1:19" ht="13.2" x14ac:dyDescent="0.25">
      <c r="A51" s="50"/>
      <c r="B51" s="35" t="s">
        <v>112</v>
      </c>
      <c r="C51" s="18">
        <f>B46/10+((B46/10)/1.67)</f>
        <v>3.5377755128041786</v>
      </c>
      <c r="D51" s="32">
        <v>10</v>
      </c>
      <c r="E51" s="27">
        <f t="shared" si="10"/>
        <v>0.44999999999999996</v>
      </c>
      <c r="F51" s="28">
        <f t="shared" si="11"/>
        <v>0.58850158442734257</v>
      </c>
      <c r="G51" s="29">
        <f t="shared" si="12"/>
        <v>0</v>
      </c>
      <c r="H51" s="34">
        <f t="shared" si="14"/>
        <v>0</v>
      </c>
      <c r="I51" s="34"/>
      <c r="J51" s="30"/>
      <c r="K51" s="30"/>
      <c r="L51" s="30"/>
      <c r="M51" s="30"/>
      <c r="N51" s="30"/>
      <c r="O51" s="30"/>
      <c r="P51" s="30"/>
      <c r="Q51" s="30"/>
      <c r="R51" s="30"/>
      <c r="S51" s="33">
        <f t="shared" si="13"/>
        <v>0</v>
      </c>
    </row>
    <row r="52" spans="1:19" ht="13.2" x14ac:dyDescent="0.25">
      <c r="A52" s="59"/>
      <c r="B52" s="60"/>
      <c r="D52" s="32">
        <v>11</v>
      </c>
      <c r="E52" s="27">
        <f t="shared" si="10"/>
        <v>0.495</v>
      </c>
      <c r="F52" s="28">
        <f t="shared" si="11"/>
        <v>0.6473517428700768</v>
      </c>
      <c r="G52" s="29">
        <f t="shared" si="12"/>
        <v>0</v>
      </c>
      <c r="H52" s="34">
        <f t="shared" si="14"/>
        <v>0</v>
      </c>
      <c r="I52" s="34"/>
      <c r="J52" s="30"/>
      <c r="K52" s="30"/>
      <c r="L52" s="30"/>
      <c r="M52" s="30"/>
      <c r="N52" s="30"/>
      <c r="O52" s="30"/>
      <c r="P52" s="30"/>
      <c r="Q52" s="30"/>
      <c r="R52" s="30"/>
      <c r="S52" s="33">
        <f t="shared" si="13"/>
        <v>0</v>
      </c>
    </row>
    <row r="53" spans="1:19" ht="13.2" x14ac:dyDescent="0.25">
      <c r="A53" s="53"/>
      <c r="B53" s="53"/>
      <c r="D53" s="32">
        <v>12</v>
      </c>
      <c r="E53" s="27">
        <f t="shared" si="10"/>
        <v>0.54</v>
      </c>
      <c r="F53" s="28">
        <f t="shared" si="11"/>
        <v>0.70620190131281113</v>
      </c>
      <c r="G53" s="29">
        <f t="shared" si="12"/>
        <v>0</v>
      </c>
      <c r="H53" s="34">
        <f t="shared" si="14"/>
        <v>0</v>
      </c>
      <c r="I53" s="34"/>
      <c r="J53" s="37"/>
      <c r="K53" s="30"/>
      <c r="L53" s="30"/>
      <c r="M53" s="30"/>
      <c r="N53" s="30"/>
      <c r="O53" s="30"/>
      <c r="P53" s="30"/>
      <c r="Q53" s="30"/>
      <c r="R53" s="30"/>
      <c r="S53" s="33">
        <f t="shared" si="13"/>
        <v>0</v>
      </c>
    </row>
    <row r="54" spans="1:19" ht="13.2" x14ac:dyDescent="0.25">
      <c r="D54" s="32">
        <v>13</v>
      </c>
      <c r="E54" s="27">
        <f t="shared" si="10"/>
        <v>0.58499999999999996</v>
      </c>
      <c r="F54" s="28">
        <f t="shared" si="11"/>
        <v>0.76505205975554536</v>
      </c>
      <c r="G54" s="29">
        <f t="shared" si="12"/>
        <v>0</v>
      </c>
      <c r="H54" s="34">
        <f t="shared" si="14"/>
        <v>0</v>
      </c>
      <c r="I54" s="34"/>
      <c r="J54" s="37"/>
      <c r="K54" s="30"/>
      <c r="L54" s="30"/>
      <c r="M54" s="30"/>
      <c r="N54" s="30"/>
      <c r="O54" s="30"/>
      <c r="P54" s="30"/>
      <c r="Q54" s="30"/>
      <c r="R54" s="30"/>
      <c r="S54" s="33">
        <f t="shared" si="13"/>
        <v>0</v>
      </c>
    </row>
    <row r="55" spans="1:19" ht="13.2" x14ac:dyDescent="0.25">
      <c r="D55" s="32">
        <v>14</v>
      </c>
      <c r="E55" s="27">
        <f t="shared" si="10"/>
        <v>0.63</v>
      </c>
      <c r="F55" s="28">
        <f t="shared" si="11"/>
        <v>0.82390221819827969</v>
      </c>
      <c r="G55" s="29">
        <f t="shared" si="12"/>
        <v>0</v>
      </c>
      <c r="H55" s="34">
        <f t="shared" si="14"/>
        <v>0</v>
      </c>
      <c r="I55" s="34"/>
      <c r="J55" s="37"/>
      <c r="K55" s="30"/>
      <c r="L55" s="30"/>
      <c r="M55" s="30"/>
      <c r="N55" s="30"/>
      <c r="O55" s="30"/>
      <c r="P55" s="30"/>
      <c r="Q55" s="30"/>
      <c r="R55" s="30"/>
      <c r="S55" s="33">
        <f t="shared" si="13"/>
        <v>0</v>
      </c>
    </row>
    <row r="56" spans="1:19" ht="13.2" x14ac:dyDescent="0.25">
      <c r="D56" s="32">
        <v>15</v>
      </c>
      <c r="E56" s="27">
        <f t="shared" si="10"/>
        <v>0.67499999999999993</v>
      </c>
      <c r="F56" s="28">
        <f t="shared" si="11"/>
        <v>0.8827523766410138</v>
      </c>
      <c r="G56" s="29">
        <f t="shared" si="12"/>
        <v>0</v>
      </c>
      <c r="H56" s="34">
        <f t="shared" si="14"/>
        <v>0</v>
      </c>
      <c r="I56" s="34"/>
      <c r="J56" s="37"/>
      <c r="K56" s="30"/>
      <c r="L56" s="30"/>
      <c r="M56" s="30"/>
      <c r="N56" s="30"/>
      <c r="O56" s="30"/>
      <c r="P56" s="30"/>
      <c r="Q56" s="30"/>
      <c r="R56" s="30"/>
      <c r="S56" s="33">
        <f t="shared" si="13"/>
        <v>0</v>
      </c>
    </row>
    <row r="57" spans="1:19" ht="13.2" x14ac:dyDescent="0.25">
      <c r="D57" s="32">
        <v>16</v>
      </c>
      <c r="E57" s="27">
        <f t="shared" si="10"/>
        <v>0.72</v>
      </c>
      <c r="F57" s="28">
        <f t="shared" si="11"/>
        <v>0.94160253508374814</v>
      </c>
      <c r="G57" s="29">
        <f t="shared" si="12"/>
        <v>0</v>
      </c>
      <c r="H57" s="34">
        <f t="shared" si="14"/>
        <v>0</v>
      </c>
      <c r="I57" s="34">
        <f t="shared" ref="I57:I157" si="15">$S$8*F41</f>
        <v>0</v>
      </c>
      <c r="J57" s="37"/>
      <c r="K57" s="34"/>
      <c r="L57" s="30"/>
      <c r="M57" s="30"/>
      <c r="N57" s="30"/>
      <c r="O57" s="30"/>
      <c r="P57" s="30"/>
      <c r="Q57" s="30"/>
      <c r="R57" s="30"/>
      <c r="S57" s="33">
        <f t="shared" si="13"/>
        <v>0</v>
      </c>
    </row>
    <row r="58" spans="1:19" ht="13.2" x14ac:dyDescent="0.25">
      <c r="D58" s="32">
        <v>17</v>
      </c>
      <c r="E58" s="27">
        <f t="shared" si="10"/>
        <v>0.76500000000000001</v>
      </c>
      <c r="F58" s="28">
        <f t="shared" si="11"/>
        <v>1.0004526935264824</v>
      </c>
      <c r="G58" s="29">
        <f t="shared" si="12"/>
        <v>0</v>
      </c>
      <c r="H58" s="34">
        <f t="shared" si="14"/>
        <v>0</v>
      </c>
      <c r="I58" s="34">
        <f t="shared" si="15"/>
        <v>0</v>
      </c>
      <c r="J58" s="37"/>
      <c r="K58" s="34"/>
      <c r="L58" s="30"/>
      <c r="M58" s="30"/>
      <c r="N58" s="30"/>
      <c r="O58" s="30"/>
      <c r="P58" s="30"/>
      <c r="Q58" s="30"/>
      <c r="R58" s="30"/>
      <c r="S58" s="33">
        <f t="shared" si="13"/>
        <v>0</v>
      </c>
    </row>
    <row r="59" spans="1:19" ht="13.2" x14ac:dyDescent="0.25">
      <c r="D59" s="32">
        <v>18</v>
      </c>
      <c r="E59" s="27">
        <f t="shared" si="10"/>
        <v>0.80999999999999994</v>
      </c>
      <c r="F59" s="28">
        <f t="shared" si="11"/>
        <v>1.0593028519692167</v>
      </c>
      <c r="G59" s="29">
        <f t="shared" si="12"/>
        <v>0</v>
      </c>
      <c r="H59" s="34">
        <f t="shared" si="14"/>
        <v>0</v>
      </c>
      <c r="I59" s="34">
        <f t="shared" si="15"/>
        <v>0</v>
      </c>
      <c r="J59" s="37"/>
      <c r="K59" s="34"/>
      <c r="L59" s="30"/>
      <c r="M59" s="30"/>
      <c r="N59" s="30"/>
      <c r="O59" s="30"/>
      <c r="P59" s="30"/>
      <c r="Q59" s="30"/>
      <c r="R59" s="30"/>
      <c r="S59" s="33">
        <f t="shared" si="13"/>
        <v>0</v>
      </c>
    </row>
    <row r="60" spans="1:19" ht="13.2" x14ac:dyDescent="0.25">
      <c r="D60" s="32">
        <v>19</v>
      </c>
      <c r="E60" s="27">
        <f t="shared" si="10"/>
        <v>0.85499999999999998</v>
      </c>
      <c r="F60" s="28">
        <f t="shared" si="11"/>
        <v>1.1181530104119508</v>
      </c>
      <c r="G60" s="29">
        <f t="shared" si="12"/>
        <v>0</v>
      </c>
      <c r="H60" s="34">
        <f t="shared" si="14"/>
        <v>0</v>
      </c>
      <c r="I60" s="34">
        <f t="shared" si="15"/>
        <v>0</v>
      </c>
      <c r="J60" s="37"/>
      <c r="K60" s="34"/>
      <c r="L60" s="30"/>
      <c r="M60" s="30"/>
      <c r="N60" s="30"/>
      <c r="O60" s="30"/>
      <c r="P60" s="30"/>
      <c r="Q60" s="30"/>
      <c r="R60" s="30"/>
      <c r="S60" s="33">
        <f t="shared" si="13"/>
        <v>0</v>
      </c>
    </row>
    <row r="61" spans="1:19" ht="13.2" x14ac:dyDescent="0.25">
      <c r="D61" s="32">
        <v>20</v>
      </c>
      <c r="E61" s="27">
        <f t="shared" si="10"/>
        <v>0.89999999999999991</v>
      </c>
      <c r="F61" s="28">
        <f t="shared" si="11"/>
        <v>1.1770031688546851</v>
      </c>
      <c r="G61" s="29">
        <f t="shared" si="12"/>
        <v>0</v>
      </c>
      <c r="H61" s="34">
        <f t="shared" si="14"/>
        <v>0</v>
      </c>
      <c r="I61" s="34">
        <f t="shared" si="15"/>
        <v>0</v>
      </c>
      <c r="J61" s="37"/>
      <c r="K61" s="34"/>
      <c r="L61" s="37"/>
      <c r="M61" s="30"/>
      <c r="N61" s="30"/>
      <c r="O61" s="30"/>
      <c r="P61" s="30"/>
      <c r="Q61" s="30"/>
      <c r="R61" s="30"/>
      <c r="S61" s="33">
        <f t="shared" si="13"/>
        <v>0</v>
      </c>
    </row>
    <row r="62" spans="1:19" ht="13.2" x14ac:dyDescent="0.25">
      <c r="D62" s="32">
        <v>21</v>
      </c>
      <c r="E62" s="27">
        <f t="shared" si="10"/>
        <v>0.94499999999999995</v>
      </c>
      <c r="F62" s="28">
        <f t="shared" si="11"/>
        <v>1.2358533272974195</v>
      </c>
      <c r="G62" s="29">
        <f t="shared" si="12"/>
        <v>0</v>
      </c>
      <c r="H62" s="34">
        <f t="shared" si="14"/>
        <v>0</v>
      </c>
      <c r="I62" s="34">
        <f t="shared" si="15"/>
        <v>0</v>
      </c>
      <c r="J62" s="37"/>
      <c r="K62" s="34"/>
      <c r="L62" s="37"/>
      <c r="M62" s="30"/>
      <c r="N62" s="30"/>
      <c r="O62" s="30"/>
      <c r="P62" s="30"/>
      <c r="Q62" s="30"/>
      <c r="R62" s="30"/>
      <c r="S62" s="33">
        <f t="shared" si="13"/>
        <v>0</v>
      </c>
    </row>
    <row r="63" spans="1:19" ht="13.2" x14ac:dyDescent="0.25">
      <c r="D63" s="32">
        <v>22</v>
      </c>
      <c r="E63" s="27">
        <f t="shared" si="10"/>
        <v>0.99</v>
      </c>
      <c r="F63" s="28">
        <f t="shared" si="11"/>
        <v>1.2947034857401536</v>
      </c>
      <c r="G63" s="29">
        <f t="shared" si="12"/>
        <v>0</v>
      </c>
      <c r="H63" s="34">
        <f t="shared" si="14"/>
        <v>0</v>
      </c>
      <c r="I63" s="34">
        <f t="shared" si="15"/>
        <v>0</v>
      </c>
      <c r="J63" s="37"/>
      <c r="K63" s="34"/>
      <c r="L63" s="37"/>
      <c r="M63" s="30"/>
      <c r="N63" s="30"/>
      <c r="O63" s="30"/>
      <c r="P63" s="30"/>
      <c r="Q63" s="30"/>
      <c r="R63" s="30"/>
      <c r="S63" s="33">
        <f t="shared" si="13"/>
        <v>0</v>
      </c>
    </row>
    <row r="64" spans="1:19" ht="13.2" x14ac:dyDescent="0.25">
      <c r="D64" s="32">
        <v>23</v>
      </c>
      <c r="E64" s="27">
        <f t="shared" si="10"/>
        <v>1.0349999999999999</v>
      </c>
      <c r="F64" s="28">
        <f t="shared" si="11"/>
        <v>1.3535536441828879</v>
      </c>
      <c r="G64" s="29">
        <f t="shared" si="12"/>
        <v>0</v>
      </c>
      <c r="H64" s="34">
        <f t="shared" si="14"/>
        <v>0</v>
      </c>
      <c r="I64" s="34">
        <f t="shared" si="15"/>
        <v>0</v>
      </c>
      <c r="J64" s="37"/>
      <c r="K64" s="34"/>
      <c r="L64" s="37"/>
      <c r="M64" s="30"/>
      <c r="N64" s="30"/>
      <c r="O64" s="30"/>
      <c r="P64" s="30"/>
      <c r="Q64" s="30"/>
      <c r="R64" s="30"/>
      <c r="S64" s="33">
        <f t="shared" si="13"/>
        <v>0</v>
      </c>
    </row>
    <row r="65" spans="4:19" ht="13.2" x14ac:dyDescent="0.25">
      <c r="D65" s="32">
        <v>24</v>
      </c>
      <c r="E65" s="27">
        <f t="shared" si="10"/>
        <v>1.08</v>
      </c>
      <c r="F65" s="28">
        <f t="shared" si="11"/>
        <v>1.4124038026256223</v>
      </c>
      <c r="G65" s="29">
        <f t="shared" si="12"/>
        <v>0</v>
      </c>
      <c r="H65" s="34">
        <f t="shared" si="14"/>
        <v>0</v>
      </c>
      <c r="I65" s="34">
        <f t="shared" si="15"/>
        <v>0</v>
      </c>
      <c r="J65" s="37">
        <f t="shared" ref="J65:J165" si="16">F41*$S$9</f>
        <v>0</v>
      </c>
      <c r="K65" s="34"/>
      <c r="L65" s="37"/>
      <c r="M65" s="34"/>
      <c r="N65" s="30"/>
      <c r="O65" s="30"/>
      <c r="P65" s="30"/>
      <c r="Q65" s="30"/>
      <c r="R65" s="30"/>
      <c r="S65" s="33">
        <f t="shared" si="13"/>
        <v>0</v>
      </c>
    </row>
    <row r="66" spans="4:19" ht="13.2" x14ac:dyDescent="0.25">
      <c r="D66" s="32">
        <v>25</v>
      </c>
      <c r="E66" s="27">
        <f t="shared" si="10"/>
        <v>1.125</v>
      </c>
      <c r="F66" s="28">
        <f t="shared" si="11"/>
        <v>1.4712539610683564</v>
      </c>
      <c r="G66" s="29">
        <f t="shared" si="12"/>
        <v>0</v>
      </c>
      <c r="H66" s="34">
        <f t="shared" si="14"/>
        <v>0</v>
      </c>
      <c r="I66" s="34">
        <f t="shared" si="15"/>
        <v>0</v>
      </c>
      <c r="J66" s="37">
        <f t="shared" si="16"/>
        <v>0</v>
      </c>
      <c r="K66" s="34"/>
      <c r="L66" s="37"/>
      <c r="M66" s="34"/>
      <c r="N66" s="30"/>
      <c r="O66" s="30"/>
      <c r="P66" s="30"/>
      <c r="Q66" s="30"/>
      <c r="R66" s="30"/>
      <c r="S66" s="33">
        <f t="shared" si="13"/>
        <v>0</v>
      </c>
    </row>
    <row r="67" spans="4:19" ht="13.2" x14ac:dyDescent="0.25">
      <c r="D67" s="32">
        <v>26</v>
      </c>
      <c r="E67" s="27">
        <f t="shared" si="10"/>
        <v>1.17</v>
      </c>
      <c r="F67" s="28">
        <f t="shared" si="11"/>
        <v>1.5301041195110907</v>
      </c>
      <c r="G67" s="29">
        <f t="shared" si="12"/>
        <v>0</v>
      </c>
      <c r="H67" s="34">
        <f t="shared" si="14"/>
        <v>0</v>
      </c>
      <c r="I67" s="34">
        <f t="shared" si="15"/>
        <v>0</v>
      </c>
      <c r="J67" s="37">
        <f t="shared" si="16"/>
        <v>0</v>
      </c>
      <c r="K67" s="34"/>
      <c r="L67" s="37"/>
      <c r="M67" s="34"/>
      <c r="N67" s="30"/>
      <c r="O67" s="30"/>
      <c r="P67" s="30"/>
      <c r="Q67" s="30"/>
      <c r="R67" s="30"/>
      <c r="S67" s="33">
        <f t="shared" si="13"/>
        <v>0</v>
      </c>
    </row>
    <row r="68" spans="4:19" ht="13.2" x14ac:dyDescent="0.25">
      <c r="D68" s="32">
        <v>27</v>
      </c>
      <c r="E68" s="27">
        <f t="shared" si="10"/>
        <v>1.2149999999999999</v>
      </c>
      <c r="F68" s="28">
        <f t="shared" si="11"/>
        <v>1.5889542779538248</v>
      </c>
      <c r="G68" s="29">
        <f t="shared" si="12"/>
        <v>0</v>
      </c>
      <c r="H68" s="34">
        <f t="shared" si="14"/>
        <v>0</v>
      </c>
      <c r="I68" s="34">
        <f t="shared" si="15"/>
        <v>0</v>
      </c>
      <c r="J68" s="37">
        <f t="shared" si="16"/>
        <v>0</v>
      </c>
      <c r="K68" s="34"/>
      <c r="L68" s="37"/>
      <c r="M68" s="34"/>
      <c r="N68" s="30"/>
      <c r="O68" s="30"/>
      <c r="P68" s="30"/>
      <c r="Q68" s="30"/>
      <c r="R68" s="30"/>
      <c r="S68" s="33">
        <f t="shared" si="13"/>
        <v>0</v>
      </c>
    </row>
    <row r="69" spans="4:19" ht="13.2" x14ac:dyDescent="0.25">
      <c r="D69" s="32">
        <v>28</v>
      </c>
      <c r="E69" s="27">
        <f t="shared" si="10"/>
        <v>1.26</v>
      </c>
      <c r="F69" s="28">
        <f t="shared" si="11"/>
        <v>1.6478044363965594</v>
      </c>
      <c r="G69" s="29">
        <f t="shared" si="12"/>
        <v>0</v>
      </c>
      <c r="H69" s="34">
        <f t="shared" si="14"/>
        <v>0</v>
      </c>
      <c r="I69" s="34">
        <f t="shared" si="15"/>
        <v>0</v>
      </c>
      <c r="J69" s="37">
        <f t="shared" si="16"/>
        <v>0</v>
      </c>
      <c r="K69" s="34"/>
      <c r="L69" s="37"/>
      <c r="M69" s="34"/>
      <c r="N69" s="37"/>
      <c r="O69" s="30"/>
      <c r="P69" s="30"/>
      <c r="Q69" s="30"/>
      <c r="R69" s="30"/>
      <c r="S69" s="33">
        <f t="shared" si="13"/>
        <v>0</v>
      </c>
    </row>
    <row r="70" spans="4:19" ht="13.2" x14ac:dyDescent="0.25">
      <c r="D70" s="32">
        <v>29</v>
      </c>
      <c r="E70" s="27">
        <f t="shared" si="10"/>
        <v>1.3049999999999999</v>
      </c>
      <c r="F70" s="28">
        <f t="shared" si="11"/>
        <v>1.7066545948392935</v>
      </c>
      <c r="G70" s="29">
        <f t="shared" si="12"/>
        <v>0</v>
      </c>
      <c r="H70" s="34">
        <f t="shared" si="14"/>
        <v>0</v>
      </c>
      <c r="I70" s="34">
        <f t="shared" si="15"/>
        <v>0</v>
      </c>
      <c r="J70" s="37">
        <f t="shared" si="16"/>
        <v>0</v>
      </c>
      <c r="K70" s="34"/>
      <c r="L70" s="37"/>
      <c r="M70" s="34"/>
      <c r="N70" s="37"/>
      <c r="O70" s="30"/>
      <c r="P70" s="30"/>
      <c r="Q70" s="30"/>
      <c r="R70" s="30"/>
      <c r="S70" s="33">
        <f t="shared" si="13"/>
        <v>0</v>
      </c>
    </row>
    <row r="71" spans="4:19" ht="13.2" x14ac:dyDescent="0.25">
      <c r="D71" s="32">
        <v>30</v>
      </c>
      <c r="E71" s="27">
        <f t="shared" si="10"/>
        <v>1.3499999999999999</v>
      </c>
      <c r="F71" s="28">
        <f t="shared" si="11"/>
        <v>1.7655047532820276</v>
      </c>
      <c r="G71" s="29">
        <f t="shared" si="12"/>
        <v>0</v>
      </c>
      <c r="H71" s="34">
        <f t="shared" si="14"/>
        <v>0</v>
      </c>
      <c r="I71" s="34">
        <f t="shared" si="15"/>
        <v>0</v>
      </c>
      <c r="J71" s="37">
        <f t="shared" si="16"/>
        <v>0</v>
      </c>
      <c r="K71" s="34"/>
      <c r="L71" s="37"/>
      <c r="M71" s="34"/>
      <c r="N71" s="37"/>
      <c r="O71" s="30"/>
      <c r="P71" s="30"/>
      <c r="Q71" s="30"/>
      <c r="R71" s="30"/>
      <c r="S71" s="33">
        <f t="shared" si="13"/>
        <v>0</v>
      </c>
    </row>
    <row r="72" spans="4:19" ht="13.2" x14ac:dyDescent="0.25">
      <c r="D72" s="32">
        <v>31</v>
      </c>
      <c r="E72" s="27">
        <f t="shared" si="10"/>
        <v>1.395</v>
      </c>
      <c r="F72" s="28">
        <f t="shared" si="11"/>
        <v>1.8243549117247622</v>
      </c>
      <c r="G72" s="29">
        <f t="shared" si="12"/>
        <v>0</v>
      </c>
      <c r="H72" s="34">
        <f t="shared" si="14"/>
        <v>0</v>
      </c>
      <c r="I72" s="34">
        <f t="shared" si="15"/>
        <v>0</v>
      </c>
      <c r="J72" s="37">
        <f t="shared" si="16"/>
        <v>0</v>
      </c>
      <c r="K72" s="34"/>
      <c r="L72" s="37"/>
      <c r="M72" s="34"/>
      <c r="N72" s="37"/>
      <c r="O72" s="30"/>
      <c r="P72" s="30"/>
      <c r="Q72" s="30"/>
      <c r="R72" s="30"/>
      <c r="S72" s="33">
        <f t="shared" si="13"/>
        <v>0</v>
      </c>
    </row>
    <row r="73" spans="4:19" ht="13.2" x14ac:dyDescent="0.25">
      <c r="D73" s="32">
        <v>32</v>
      </c>
      <c r="E73" s="27">
        <f t="shared" si="10"/>
        <v>1.44</v>
      </c>
      <c r="F73" s="28">
        <f t="shared" si="11"/>
        <v>1.8832050701674963</v>
      </c>
      <c r="G73" s="29">
        <f t="shared" si="12"/>
        <v>0</v>
      </c>
      <c r="H73" s="34">
        <f t="shared" si="14"/>
        <v>0</v>
      </c>
      <c r="I73" s="34">
        <f t="shared" si="15"/>
        <v>0</v>
      </c>
      <c r="J73" s="37">
        <f t="shared" si="16"/>
        <v>0</v>
      </c>
      <c r="K73" s="34">
        <f t="shared" ref="K73:K173" si="17">$S$10*F41</f>
        <v>0</v>
      </c>
      <c r="L73" s="37"/>
      <c r="M73" s="34"/>
      <c r="N73" s="37"/>
      <c r="O73" s="37"/>
      <c r="P73" s="30"/>
      <c r="Q73" s="30"/>
      <c r="R73" s="30"/>
      <c r="S73" s="33">
        <f t="shared" si="13"/>
        <v>0</v>
      </c>
    </row>
    <row r="74" spans="4:19" ht="13.2" x14ac:dyDescent="0.25">
      <c r="D74" s="32">
        <v>33</v>
      </c>
      <c r="E74" s="27">
        <f t="shared" si="10"/>
        <v>1.4849999999999999</v>
      </c>
      <c r="F74" s="28">
        <f t="shared" si="11"/>
        <v>1.9420552286102304</v>
      </c>
      <c r="G74" s="29">
        <f t="shared" si="12"/>
        <v>0</v>
      </c>
      <c r="H74" s="34">
        <f t="shared" si="14"/>
        <v>0</v>
      </c>
      <c r="I74" s="34">
        <f t="shared" si="15"/>
        <v>0</v>
      </c>
      <c r="J74" s="37">
        <f t="shared" si="16"/>
        <v>0</v>
      </c>
      <c r="K74" s="34">
        <f t="shared" si="17"/>
        <v>1.6066896550590456E-2</v>
      </c>
      <c r="L74" s="37"/>
      <c r="M74" s="34"/>
      <c r="N74" s="37"/>
      <c r="O74" s="37"/>
      <c r="P74" s="30"/>
      <c r="Q74" s="30"/>
      <c r="R74" s="30"/>
      <c r="S74" s="33">
        <f t="shared" si="13"/>
        <v>1.6066896550590456E-2</v>
      </c>
    </row>
    <row r="75" spans="4:19" ht="13.2" x14ac:dyDescent="0.25">
      <c r="D75" s="32">
        <v>34</v>
      </c>
      <c r="E75" s="27">
        <f t="shared" si="10"/>
        <v>1.53</v>
      </c>
      <c r="F75" s="28">
        <f t="shared" si="11"/>
        <v>2.0009053870529647</v>
      </c>
      <c r="G75" s="29">
        <f t="shared" si="12"/>
        <v>0</v>
      </c>
      <c r="H75" s="34">
        <f t="shared" si="14"/>
        <v>0</v>
      </c>
      <c r="I75" s="34">
        <f t="shared" si="15"/>
        <v>0</v>
      </c>
      <c r="J75" s="37">
        <f t="shared" si="16"/>
        <v>0</v>
      </c>
      <c r="K75" s="34">
        <f t="shared" si="17"/>
        <v>3.2133793101180912E-2</v>
      </c>
      <c r="L75" s="37"/>
      <c r="M75" s="34"/>
      <c r="N75" s="37"/>
      <c r="O75" s="37"/>
      <c r="P75" s="30"/>
      <c r="Q75" s="30"/>
      <c r="R75" s="30"/>
      <c r="S75" s="33">
        <f t="shared" si="13"/>
        <v>3.2133793101180912E-2</v>
      </c>
    </row>
    <row r="76" spans="4:19" ht="13.2" x14ac:dyDescent="0.25">
      <c r="D76" s="32">
        <v>35</v>
      </c>
      <c r="E76" s="27">
        <f t="shared" si="10"/>
        <v>1.575</v>
      </c>
      <c r="F76" s="28">
        <f t="shared" si="11"/>
        <v>2.0597555454956988</v>
      </c>
      <c r="G76" s="29">
        <f t="shared" si="12"/>
        <v>0</v>
      </c>
      <c r="H76" s="34">
        <f t="shared" si="14"/>
        <v>0</v>
      </c>
      <c r="I76" s="34">
        <f t="shared" si="15"/>
        <v>0</v>
      </c>
      <c r="J76" s="37">
        <f t="shared" si="16"/>
        <v>0</v>
      </c>
      <c r="K76" s="34">
        <f t="shared" si="17"/>
        <v>4.8200689651771364E-2</v>
      </c>
      <c r="L76" s="37"/>
      <c r="M76" s="34"/>
      <c r="N76" s="37"/>
      <c r="O76" s="37"/>
      <c r="P76" s="30"/>
      <c r="Q76" s="30"/>
      <c r="R76" s="30"/>
      <c r="S76" s="33">
        <f t="shared" si="13"/>
        <v>4.8200689651771364E-2</v>
      </c>
    </row>
    <row r="77" spans="4:19" ht="13.2" x14ac:dyDescent="0.25">
      <c r="D77" s="32">
        <v>36</v>
      </c>
      <c r="E77" s="27">
        <f t="shared" si="10"/>
        <v>1.6199999999999999</v>
      </c>
      <c r="F77" s="28">
        <f t="shared" si="11"/>
        <v>2.1186057039384334</v>
      </c>
      <c r="G77" s="29">
        <f t="shared" si="12"/>
        <v>0</v>
      </c>
      <c r="H77" s="34">
        <f t="shared" si="14"/>
        <v>0</v>
      </c>
      <c r="I77" s="34">
        <f t="shared" si="15"/>
        <v>0</v>
      </c>
      <c r="J77" s="37">
        <f t="shared" si="16"/>
        <v>0</v>
      </c>
      <c r="K77" s="34">
        <f t="shared" si="17"/>
        <v>6.4267586202361823E-2</v>
      </c>
      <c r="L77" s="37"/>
      <c r="M77" s="34"/>
      <c r="N77" s="37"/>
      <c r="O77" s="37"/>
      <c r="P77" s="34"/>
      <c r="Q77" s="30"/>
      <c r="R77" s="30"/>
      <c r="S77" s="33">
        <f t="shared" si="13"/>
        <v>6.4267586202361823E-2</v>
      </c>
    </row>
    <row r="78" spans="4:19" ht="13.2" x14ac:dyDescent="0.25">
      <c r="D78" s="32">
        <v>37</v>
      </c>
      <c r="E78" s="27">
        <f t="shared" si="10"/>
        <v>1.665</v>
      </c>
      <c r="F78" s="28">
        <f t="shared" si="11"/>
        <v>2.1774558623811675</v>
      </c>
      <c r="G78" s="29">
        <f t="shared" si="12"/>
        <v>0</v>
      </c>
      <c r="H78" s="34">
        <f t="shared" si="14"/>
        <v>0</v>
      </c>
      <c r="I78" s="34">
        <f t="shared" si="15"/>
        <v>0</v>
      </c>
      <c r="J78" s="37">
        <f t="shared" si="16"/>
        <v>0</v>
      </c>
      <c r="K78" s="34">
        <f t="shared" si="17"/>
        <v>8.0334482752952269E-2</v>
      </c>
      <c r="L78" s="37"/>
      <c r="M78" s="34"/>
      <c r="N78" s="37"/>
      <c r="O78" s="37"/>
      <c r="P78" s="34"/>
      <c r="Q78" s="30"/>
      <c r="R78" s="30"/>
      <c r="S78" s="33">
        <f t="shared" si="13"/>
        <v>8.0334482752952269E-2</v>
      </c>
    </row>
    <row r="79" spans="4:19" ht="13.2" x14ac:dyDescent="0.25">
      <c r="D79" s="32">
        <v>38</v>
      </c>
      <c r="E79" s="27">
        <f t="shared" si="10"/>
        <v>1.71</v>
      </c>
      <c r="F79" s="28">
        <f t="shared" si="11"/>
        <v>2.1986701111132194</v>
      </c>
      <c r="G79" s="29">
        <f t="shared" si="12"/>
        <v>0</v>
      </c>
      <c r="H79" s="34">
        <f t="shared" si="14"/>
        <v>0</v>
      </c>
      <c r="I79" s="34">
        <f t="shared" si="15"/>
        <v>0</v>
      </c>
      <c r="J79" s="37">
        <f t="shared" si="16"/>
        <v>0</v>
      </c>
      <c r="K79" s="34">
        <f t="shared" si="17"/>
        <v>9.6401379303542728E-2</v>
      </c>
      <c r="L79" s="37"/>
      <c r="M79" s="34"/>
      <c r="N79" s="37"/>
      <c r="O79" s="37"/>
      <c r="P79" s="34"/>
      <c r="Q79" s="30"/>
      <c r="R79" s="30"/>
      <c r="S79" s="33">
        <f t="shared" si="13"/>
        <v>9.6401379303542728E-2</v>
      </c>
    </row>
    <row r="80" spans="4:19" ht="13.2" x14ac:dyDescent="0.25">
      <c r="D80" s="32">
        <v>39</v>
      </c>
      <c r="E80" s="27">
        <f t="shared" si="10"/>
        <v>1.7549999999999999</v>
      </c>
      <c r="F80" s="28">
        <f t="shared" si="11"/>
        <v>2.1634304952792469</v>
      </c>
      <c r="G80" s="29">
        <f t="shared" si="12"/>
        <v>0</v>
      </c>
      <c r="H80" s="34">
        <f t="shared" si="14"/>
        <v>0</v>
      </c>
      <c r="I80" s="34">
        <f t="shared" si="15"/>
        <v>0</v>
      </c>
      <c r="J80" s="37">
        <f t="shared" si="16"/>
        <v>0</v>
      </c>
      <c r="K80" s="34">
        <f t="shared" si="17"/>
        <v>0.11246827585413319</v>
      </c>
      <c r="L80" s="37"/>
      <c r="M80" s="34"/>
      <c r="N80" s="37"/>
      <c r="O80" s="37"/>
      <c r="P80" s="34"/>
      <c r="Q80" s="30"/>
      <c r="R80" s="30"/>
      <c r="S80" s="33">
        <f t="shared" si="13"/>
        <v>0.11246827585413319</v>
      </c>
    </row>
    <row r="81" spans="4:19" ht="13.2" x14ac:dyDescent="0.25">
      <c r="D81" s="32">
        <v>40</v>
      </c>
      <c r="E81" s="27">
        <f t="shared" si="10"/>
        <v>1.7999999999999998</v>
      </c>
      <c r="F81" s="28">
        <f t="shared" si="11"/>
        <v>2.1281908794452744</v>
      </c>
      <c r="G81" s="29">
        <f t="shared" si="12"/>
        <v>0</v>
      </c>
      <c r="H81" s="34">
        <f t="shared" si="14"/>
        <v>0</v>
      </c>
      <c r="I81" s="34">
        <f t="shared" si="15"/>
        <v>0</v>
      </c>
      <c r="J81" s="37">
        <f t="shared" si="16"/>
        <v>0</v>
      </c>
      <c r="K81" s="34">
        <f t="shared" si="17"/>
        <v>0.12853517240472365</v>
      </c>
      <c r="L81" s="37">
        <f t="shared" ref="L81:L181" si="18">F41*$S$11</f>
        <v>0</v>
      </c>
      <c r="M81" s="34"/>
      <c r="N81" s="37"/>
      <c r="O81" s="37"/>
      <c r="P81" s="34"/>
      <c r="Q81" s="37"/>
      <c r="R81" s="30"/>
      <c r="S81" s="33">
        <f t="shared" si="13"/>
        <v>0.12853517240472365</v>
      </c>
    </row>
    <row r="82" spans="4:19" ht="13.2" x14ac:dyDescent="0.25">
      <c r="D82" s="32">
        <v>41</v>
      </c>
      <c r="E82" s="27">
        <f t="shared" si="10"/>
        <v>1.845</v>
      </c>
      <c r="F82" s="28">
        <f t="shared" si="11"/>
        <v>2.0929512636113019</v>
      </c>
      <c r="G82" s="29">
        <f t="shared" si="12"/>
        <v>0</v>
      </c>
      <c r="H82" s="34">
        <f t="shared" si="14"/>
        <v>0</v>
      </c>
      <c r="I82" s="34">
        <f t="shared" si="15"/>
        <v>0</v>
      </c>
      <c r="J82" s="37">
        <f t="shared" si="16"/>
        <v>0</v>
      </c>
      <c r="K82" s="34">
        <f t="shared" si="17"/>
        <v>0.14460206895531411</v>
      </c>
      <c r="L82" s="37">
        <f t="shared" si="18"/>
        <v>0.15877584789249558</v>
      </c>
      <c r="M82" s="34"/>
      <c r="N82" s="37"/>
      <c r="O82" s="37"/>
      <c r="P82" s="34"/>
      <c r="Q82" s="37"/>
      <c r="R82" s="30"/>
      <c r="S82" s="33">
        <f t="shared" si="13"/>
        <v>0.30337791684780968</v>
      </c>
    </row>
    <row r="83" spans="4:19" ht="13.2" x14ac:dyDescent="0.25">
      <c r="D83" s="32">
        <v>42</v>
      </c>
      <c r="E83" s="27">
        <f t="shared" si="10"/>
        <v>1.89</v>
      </c>
      <c r="F83" s="28">
        <f t="shared" si="11"/>
        <v>2.057711647777329</v>
      </c>
      <c r="G83" s="29">
        <f t="shared" si="12"/>
        <v>0</v>
      </c>
      <c r="H83" s="34">
        <f t="shared" si="14"/>
        <v>0</v>
      </c>
      <c r="I83" s="34">
        <f t="shared" si="15"/>
        <v>0</v>
      </c>
      <c r="J83" s="37">
        <f t="shared" si="16"/>
        <v>0</v>
      </c>
      <c r="K83" s="34">
        <f t="shared" si="17"/>
        <v>0.16066896550590454</v>
      </c>
      <c r="L83" s="37">
        <f t="shared" si="18"/>
        <v>0.31755169578499115</v>
      </c>
      <c r="M83" s="34"/>
      <c r="N83" s="37"/>
      <c r="O83" s="37"/>
      <c r="P83" s="34"/>
      <c r="Q83" s="37"/>
      <c r="R83" s="30"/>
      <c r="S83" s="33">
        <f t="shared" si="13"/>
        <v>0.47822066129089569</v>
      </c>
    </row>
    <row r="84" spans="4:19" ht="13.2" x14ac:dyDescent="0.25">
      <c r="D84" s="32">
        <v>43</v>
      </c>
      <c r="E84" s="27">
        <f t="shared" si="10"/>
        <v>1.9349999999999998</v>
      </c>
      <c r="F84" s="28">
        <f t="shared" si="11"/>
        <v>2.0224720319433565</v>
      </c>
      <c r="G84" s="29">
        <f t="shared" si="12"/>
        <v>0</v>
      </c>
      <c r="H84" s="34">
        <f t="shared" si="14"/>
        <v>0</v>
      </c>
      <c r="I84" s="34">
        <f t="shared" si="15"/>
        <v>0</v>
      </c>
      <c r="J84" s="37">
        <f t="shared" si="16"/>
        <v>0</v>
      </c>
      <c r="K84" s="34">
        <f t="shared" si="17"/>
        <v>0.176735862056495</v>
      </c>
      <c r="L84" s="37">
        <f t="shared" si="18"/>
        <v>0.47632754367748675</v>
      </c>
      <c r="M84" s="34"/>
      <c r="N84" s="37"/>
      <c r="O84" s="37"/>
      <c r="P84" s="34"/>
      <c r="Q84" s="37"/>
      <c r="R84" s="30"/>
      <c r="S84" s="33">
        <f t="shared" si="13"/>
        <v>0.65306340573398169</v>
      </c>
    </row>
    <row r="85" spans="4:19" ht="13.2" x14ac:dyDescent="0.25">
      <c r="D85" s="32">
        <v>44</v>
      </c>
      <c r="E85" s="27">
        <f t="shared" si="10"/>
        <v>1.98</v>
      </c>
      <c r="F85" s="28">
        <f t="shared" si="11"/>
        <v>1.9872324161093837</v>
      </c>
      <c r="G85" s="29">
        <f t="shared" si="12"/>
        <v>0</v>
      </c>
      <c r="H85" s="34">
        <f t="shared" si="14"/>
        <v>0</v>
      </c>
      <c r="I85" s="34">
        <f t="shared" si="15"/>
        <v>0</v>
      </c>
      <c r="J85" s="37">
        <f t="shared" si="16"/>
        <v>0</v>
      </c>
      <c r="K85" s="34">
        <f t="shared" si="17"/>
        <v>0.19280275860708546</v>
      </c>
      <c r="L85" s="37">
        <f t="shared" si="18"/>
        <v>0.6351033915699823</v>
      </c>
      <c r="M85" s="34"/>
      <c r="N85" s="37"/>
      <c r="O85" s="37"/>
      <c r="P85" s="34"/>
      <c r="Q85" s="37"/>
      <c r="R85" s="37"/>
      <c r="S85" s="33">
        <f t="shared" si="13"/>
        <v>0.8279061501770677</v>
      </c>
    </row>
    <row r="86" spans="4:19" ht="13.2" x14ac:dyDescent="0.25">
      <c r="D86" s="32">
        <v>45</v>
      </c>
      <c r="E86" s="27">
        <f t="shared" si="10"/>
        <v>2.0249999999999999</v>
      </c>
      <c r="F86" s="28">
        <f t="shared" si="11"/>
        <v>1.9519928002754112</v>
      </c>
      <c r="G86" s="29">
        <f t="shared" si="12"/>
        <v>0</v>
      </c>
      <c r="H86" s="34">
        <f t="shared" si="14"/>
        <v>0</v>
      </c>
      <c r="I86" s="34">
        <f t="shared" si="15"/>
        <v>0</v>
      </c>
      <c r="J86" s="37">
        <f t="shared" si="16"/>
        <v>0</v>
      </c>
      <c r="K86" s="34">
        <f t="shared" si="17"/>
        <v>0.20886965515767592</v>
      </c>
      <c r="L86" s="37">
        <f t="shared" si="18"/>
        <v>0.79387923946247785</v>
      </c>
      <c r="M86" s="34"/>
      <c r="N86" s="37"/>
      <c r="O86" s="37"/>
      <c r="P86" s="34"/>
      <c r="Q86" s="37"/>
      <c r="R86" s="37"/>
      <c r="S86" s="33">
        <f t="shared" si="13"/>
        <v>1.0027488946201537</v>
      </c>
    </row>
    <row r="87" spans="4:19" ht="13.2" x14ac:dyDescent="0.25">
      <c r="D87" s="32">
        <v>46</v>
      </c>
      <c r="E87" s="27">
        <f t="shared" si="10"/>
        <v>2.0699999999999998</v>
      </c>
      <c r="F87" s="28">
        <f t="shared" si="11"/>
        <v>1.9167531844414387</v>
      </c>
      <c r="G87" s="29">
        <f t="shared" si="12"/>
        <v>0</v>
      </c>
      <c r="H87" s="34">
        <f t="shared" si="14"/>
        <v>0</v>
      </c>
      <c r="I87" s="34">
        <f t="shared" si="15"/>
        <v>0</v>
      </c>
      <c r="J87" s="37">
        <f t="shared" si="16"/>
        <v>0</v>
      </c>
      <c r="K87" s="34">
        <f t="shared" si="17"/>
        <v>0.22493655170826637</v>
      </c>
      <c r="L87" s="37">
        <f t="shared" si="18"/>
        <v>0.95265508735497351</v>
      </c>
      <c r="M87" s="34"/>
      <c r="N87" s="37"/>
      <c r="O87" s="37"/>
      <c r="P87" s="34"/>
      <c r="Q87" s="37"/>
      <c r="R87" s="37"/>
      <c r="S87" s="33">
        <f t="shared" si="13"/>
        <v>1.1775916390632399</v>
      </c>
    </row>
    <row r="88" spans="4:19" ht="13.2" x14ac:dyDescent="0.25">
      <c r="D88" s="32">
        <v>47</v>
      </c>
      <c r="E88" s="27">
        <f t="shared" si="10"/>
        <v>2.1149999999999998</v>
      </c>
      <c r="F88" s="28">
        <f t="shared" si="11"/>
        <v>1.881513568607466</v>
      </c>
      <c r="G88" s="29">
        <f t="shared" si="12"/>
        <v>0</v>
      </c>
      <c r="H88" s="34">
        <f t="shared" si="14"/>
        <v>0</v>
      </c>
      <c r="I88" s="34">
        <f t="shared" si="15"/>
        <v>0</v>
      </c>
      <c r="J88" s="37">
        <f t="shared" si="16"/>
        <v>0</v>
      </c>
      <c r="K88" s="34">
        <f t="shared" si="17"/>
        <v>0.24100344825885681</v>
      </c>
      <c r="L88" s="37">
        <f t="shared" si="18"/>
        <v>1.1114309352474692</v>
      </c>
      <c r="M88" s="34"/>
      <c r="N88" s="37"/>
      <c r="O88" s="37"/>
      <c r="P88" s="34"/>
      <c r="Q88" s="37"/>
      <c r="R88" s="37"/>
      <c r="S88" s="33">
        <f t="shared" si="13"/>
        <v>1.3524343835063259</v>
      </c>
    </row>
    <row r="89" spans="4:19" ht="13.2" x14ac:dyDescent="0.25">
      <c r="D89" s="32">
        <v>48</v>
      </c>
      <c r="E89" s="27">
        <f t="shared" si="10"/>
        <v>2.16</v>
      </c>
      <c r="F89" s="28">
        <f t="shared" si="11"/>
        <v>1.8462739527734933</v>
      </c>
      <c r="G89" s="29">
        <f t="shared" si="12"/>
        <v>0</v>
      </c>
      <c r="H89" s="34">
        <f t="shared" si="14"/>
        <v>0</v>
      </c>
      <c r="I89" s="34">
        <f t="shared" si="15"/>
        <v>0</v>
      </c>
      <c r="J89" s="37">
        <f t="shared" si="16"/>
        <v>0</v>
      </c>
      <c r="K89" s="34">
        <f t="shared" si="17"/>
        <v>0.25707034480944729</v>
      </c>
      <c r="L89" s="37">
        <f t="shared" si="18"/>
        <v>1.2702067831399646</v>
      </c>
      <c r="M89" s="34">
        <f t="shared" ref="M89:M189" si="19">$S$12*F41</f>
        <v>0</v>
      </c>
      <c r="N89" s="37"/>
      <c r="O89" s="37"/>
      <c r="P89" s="34"/>
      <c r="Q89" s="37"/>
      <c r="R89" s="37"/>
      <c r="S89" s="33">
        <f t="shared" si="13"/>
        <v>1.527277127949412</v>
      </c>
    </row>
    <row r="90" spans="4:19" ht="13.2" x14ac:dyDescent="0.25">
      <c r="D90" s="32">
        <v>49</v>
      </c>
      <c r="E90" s="27">
        <f t="shared" si="10"/>
        <v>2.2050000000000001</v>
      </c>
      <c r="F90" s="28">
        <f t="shared" si="11"/>
        <v>1.8110343369395205</v>
      </c>
      <c r="G90" s="29">
        <f t="shared" si="12"/>
        <v>0</v>
      </c>
      <c r="H90" s="34">
        <f t="shared" si="14"/>
        <v>0</v>
      </c>
      <c r="I90" s="34">
        <f t="shared" si="15"/>
        <v>0</v>
      </c>
      <c r="J90" s="37">
        <f t="shared" si="16"/>
        <v>0</v>
      </c>
      <c r="K90" s="34">
        <f t="shared" si="17"/>
        <v>0.2731372413600377</v>
      </c>
      <c r="L90" s="37">
        <f t="shared" si="18"/>
        <v>1.4289826310324603</v>
      </c>
      <c r="M90" s="34">
        <f t="shared" si="19"/>
        <v>0.93354382811719794</v>
      </c>
      <c r="N90" s="37"/>
      <c r="O90" s="37"/>
      <c r="P90" s="34"/>
      <c r="Q90" s="37"/>
      <c r="R90" s="37"/>
      <c r="S90" s="33">
        <f t="shared" si="13"/>
        <v>2.6356637005096957</v>
      </c>
    </row>
    <row r="91" spans="4:19" ht="13.2" x14ac:dyDescent="0.25">
      <c r="D91" s="32">
        <v>50</v>
      </c>
      <c r="E91" s="27">
        <f t="shared" si="10"/>
        <v>2.25</v>
      </c>
      <c r="F91" s="28">
        <f t="shared" si="11"/>
        <v>1.775794721105548</v>
      </c>
      <c r="G91" s="29">
        <f t="shared" si="12"/>
        <v>0</v>
      </c>
      <c r="H91" s="34">
        <f t="shared" si="14"/>
        <v>0</v>
      </c>
      <c r="I91" s="34">
        <f t="shared" si="15"/>
        <v>0</v>
      </c>
      <c r="J91" s="37">
        <f t="shared" si="16"/>
        <v>0</v>
      </c>
      <c r="K91" s="34">
        <f t="shared" si="17"/>
        <v>0.28920413791062821</v>
      </c>
      <c r="L91" s="37">
        <f t="shared" si="18"/>
        <v>1.5877584789249557</v>
      </c>
      <c r="M91" s="34">
        <f t="shared" si="19"/>
        <v>1.8670876562343959</v>
      </c>
      <c r="N91" s="37"/>
      <c r="O91" s="37"/>
      <c r="P91" s="34"/>
      <c r="Q91" s="37"/>
      <c r="R91" s="37"/>
      <c r="S91" s="33">
        <f t="shared" si="13"/>
        <v>3.7440502730699796</v>
      </c>
    </row>
    <row r="92" spans="4:19" ht="13.2" x14ac:dyDescent="0.25">
      <c r="D92" s="32">
        <v>51</v>
      </c>
      <c r="E92" s="27">
        <f t="shared" si="10"/>
        <v>2.2949999999999999</v>
      </c>
      <c r="F92" s="28">
        <f t="shared" si="11"/>
        <v>1.7405551052715755</v>
      </c>
      <c r="G92" s="29">
        <f t="shared" si="12"/>
        <v>0</v>
      </c>
      <c r="H92" s="34">
        <f t="shared" si="14"/>
        <v>0</v>
      </c>
      <c r="I92" s="34">
        <f t="shared" si="15"/>
        <v>0</v>
      </c>
      <c r="J92" s="37">
        <f t="shared" si="16"/>
        <v>0</v>
      </c>
      <c r="K92" s="34">
        <f t="shared" si="17"/>
        <v>0.30527103446121862</v>
      </c>
      <c r="L92" s="37">
        <f t="shared" si="18"/>
        <v>1.7465343268174514</v>
      </c>
      <c r="M92" s="34">
        <f t="shared" si="19"/>
        <v>2.800631484351594</v>
      </c>
      <c r="N92" s="37"/>
      <c r="O92" s="37"/>
      <c r="P92" s="34"/>
      <c r="Q92" s="37"/>
      <c r="R92" s="37"/>
      <c r="S92" s="33">
        <f t="shared" si="13"/>
        <v>4.8524368456302636</v>
      </c>
    </row>
    <row r="93" spans="4:19" ht="13.2" x14ac:dyDescent="0.25">
      <c r="D93" s="32">
        <v>52</v>
      </c>
      <c r="E93" s="27">
        <f t="shared" si="10"/>
        <v>2.34</v>
      </c>
      <c r="F93" s="28">
        <f t="shared" si="11"/>
        <v>1.705315489437603</v>
      </c>
      <c r="G93" s="29">
        <f t="shared" si="12"/>
        <v>0</v>
      </c>
      <c r="H93" s="34">
        <f t="shared" si="14"/>
        <v>0</v>
      </c>
      <c r="I93" s="34">
        <f t="shared" si="15"/>
        <v>0</v>
      </c>
      <c r="J93" s="37">
        <f t="shared" si="16"/>
        <v>0</v>
      </c>
      <c r="K93" s="34">
        <f t="shared" si="17"/>
        <v>0.32133793101180907</v>
      </c>
      <c r="L93" s="37">
        <f t="shared" si="18"/>
        <v>1.905310174709947</v>
      </c>
      <c r="M93" s="34">
        <f t="shared" si="19"/>
        <v>3.7341753124687918</v>
      </c>
      <c r="N93" s="37"/>
      <c r="O93" s="37"/>
      <c r="P93" s="34"/>
      <c r="Q93" s="37"/>
      <c r="R93" s="37"/>
      <c r="S93" s="33">
        <f t="shared" si="13"/>
        <v>5.9608234181905484</v>
      </c>
    </row>
    <row r="94" spans="4:19" ht="13.2" x14ac:dyDescent="0.25">
      <c r="D94" s="32">
        <v>53</v>
      </c>
      <c r="E94" s="27">
        <f t="shared" si="10"/>
        <v>2.3849999999999998</v>
      </c>
      <c r="F94" s="28">
        <f t="shared" si="11"/>
        <v>1.6700758736036305</v>
      </c>
      <c r="G94" s="29">
        <f t="shared" si="12"/>
        <v>0</v>
      </c>
      <c r="H94" s="34">
        <f t="shared" si="14"/>
        <v>0</v>
      </c>
      <c r="I94" s="34">
        <f t="shared" si="15"/>
        <v>0</v>
      </c>
      <c r="J94" s="37">
        <f t="shared" si="16"/>
        <v>0</v>
      </c>
      <c r="K94" s="34">
        <f t="shared" si="17"/>
        <v>0.33740482756239959</v>
      </c>
      <c r="L94" s="37">
        <f t="shared" si="18"/>
        <v>2.0640860226024427</v>
      </c>
      <c r="M94" s="34">
        <f t="shared" si="19"/>
        <v>4.6677191405859899</v>
      </c>
      <c r="N94" s="37"/>
      <c r="O94" s="37"/>
      <c r="P94" s="34"/>
      <c r="Q94" s="37"/>
      <c r="R94" s="37"/>
      <c r="S94" s="33">
        <f t="shared" si="13"/>
        <v>7.0692099907508323</v>
      </c>
    </row>
    <row r="95" spans="4:19" ht="13.2" x14ac:dyDescent="0.25">
      <c r="D95" s="32">
        <v>54</v>
      </c>
      <c r="E95" s="27">
        <f t="shared" si="10"/>
        <v>2.4299999999999997</v>
      </c>
      <c r="F95" s="28">
        <f t="shared" si="11"/>
        <v>1.6348362577696578</v>
      </c>
      <c r="G95" s="29">
        <f t="shared" si="12"/>
        <v>0</v>
      </c>
      <c r="H95" s="34">
        <f t="shared" si="14"/>
        <v>0</v>
      </c>
      <c r="I95" s="34">
        <f t="shared" si="15"/>
        <v>0</v>
      </c>
      <c r="J95" s="37">
        <f t="shared" si="16"/>
        <v>0</v>
      </c>
      <c r="K95" s="34">
        <f t="shared" si="17"/>
        <v>0.35347172411298999</v>
      </c>
      <c r="L95" s="37">
        <f t="shared" si="18"/>
        <v>2.2228618704949383</v>
      </c>
      <c r="M95" s="34">
        <f t="shared" si="19"/>
        <v>5.6012629687031881</v>
      </c>
      <c r="N95" s="37"/>
      <c r="O95" s="37"/>
      <c r="P95" s="34"/>
      <c r="Q95" s="37"/>
      <c r="R95" s="37"/>
      <c r="S95" s="33">
        <f t="shared" si="13"/>
        <v>8.1775965633111163</v>
      </c>
    </row>
    <row r="96" spans="4:19" ht="13.2" x14ac:dyDescent="0.25">
      <c r="D96" s="32">
        <v>55</v>
      </c>
      <c r="E96" s="27">
        <f t="shared" si="10"/>
        <v>2.4750000000000001</v>
      </c>
      <c r="F96" s="28">
        <f t="shared" si="11"/>
        <v>1.5995966419356851</v>
      </c>
      <c r="G96" s="29">
        <f t="shared" si="12"/>
        <v>0</v>
      </c>
      <c r="H96" s="34">
        <f t="shared" si="14"/>
        <v>0</v>
      </c>
      <c r="I96" s="34">
        <f t="shared" si="15"/>
        <v>0</v>
      </c>
      <c r="J96" s="37">
        <f t="shared" si="16"/>
        <v>0</v>
      </c>
      <c r="K96" s="34">
        <f t="shared" si="17"/>
        <v>0.36953862066358045</v>
      </c>
      <c r="L96" s="37">
        <f t="shared" si="18"/>
        <v>2.3816377183874335</v>
      </c>
      <c r="M96" s="34">
        <f t="shared" si="19"/>
        <v>6.5348067968203862</v>
      </c>
      <c r="N96" s="37"/>
      <c r="O96" s="37"/>
      <c r="P96" s="34"/>
      <c r="Q96" s="37"/>
      <c r="R96" s="37"/>
      <c r="S96" s="33">
        <f t="shared" si="13"/>
        <v>9.2859831358714011</v>
      </c>
    </row>
    <row r="97" spans="4:19" ht="13.2" x14ac:dyDescent="0.25">
      <c r="D97" s="32">
        <v>56</v>
      </c>
      <c r="E97" s="27">
        <f t="shared" si="10"/>
        <v>2.52</v>
      </c>
      <c r="F97" s="28">
        <f t="shared" si="11"/>
        <v>1.5643570261017123</v>
      </c>
      <c r="G97" s="29">
        <f t="shared" si="12"/>
        <v>0</v>
      </c>
      <c r="H97" s="34">
        <f t="shared" si="14"/>
        <v>0</v>
      </c>
      <c r="I97" s="34">
        <f t="shared" si="15"/>
        <v>0</v>
      </c>
      <c r="J97" s="37">
        <f t="shared" si="16"/>
        <v>0</v>
      </c>
      <c r="K97" s="34">
        <f t="shared" si="17"/>
        <v>0.38560551721417091</v>
      </c>
      <c r="L97" s="37">
        <f t="shared" si="18"/>
        <v>2.5404135662799292</v>
      </c>
      <c r="M97" s="34">
        <f t="shared" si="19"/>
        <v>7.4683506249375835</v>
      </c>
      <c r="N97" s="37">
        <f t="shared" ref="N97:N197" si="20">F41*$S$13</f>
        <v>0</v>
      </c>
      <c r="O97" s="37"/>
      <c r="P97" s="34"/>
      <c r="Q97" s="37"/>
      <c r="R97" s="37"/>
      <c r="S97" s="33">
        <f t="shared" si="13"/>
        <v>10.394369708431684</v>
      </c>
    </row>
    <row r="98" spans="4:19" ht="13.2" x14ac:dyDescent="0.25">
      <c r="D98" s="32">
        <v>57</v>
      </c>
      <c r="E98" s="27">
        <f t="shared" si="10"/>
        <v>2.5649999999999999</v>
      </c>
      <c r="F98" s="28">
        <f t="shared" si="11"/>
        <v>1.5291174102677401</v>
      </c>
      <c r="G98" s="29">
        <f t="shared" si="12"/>
        <v>0</v>
      </c>
      <c r="H98" s="34">
        <f t="shared" si="14"/>
        <v>0</v>
      </c>
      <c r="I98" s="34">
        <f t="shared" si="15"/>
        <v>0</v>
      </c>
      <c r="J98" s="37">
        <f t="shared" si="16"/>
        <v>0</v>
      </c>
      <c r="K98" s="34">
        <f t="shared" si="17"/>
        <v>0.40167241376476137</v>
      </c>
      <c r="L98" s="37">
        <f t="shared" si="18"/>
        <v>2.6991894141724249</v>
      </c>
      <c r="M98" s="34">
        <f t="shared" si="19"/>
        <v>8.4018944530547817</v>
      </c>
      <c r="N98" s="37">
        <f t="shared" si="20"/>
        <v>0.35779941867015846</v>
      </c>
      <c r="O98" s="37"/>
      <c r="P98" s="34"/>
      <c r="Q98" s="37"/>
      <c r="R98" s="37"/>
      <c r="S98" s="33">
        <f t="shared" si="13"/>
        <v>11.860555699662125</v>
      </c>
    </row>
    <row r="99" spans="4:19" ht="13.2" x14ac:dyDescent="0.25">
      <c r="D99" s="32">
        <v>58</v>
      </c>
      <c r="E99" s="27">
        <f t="shared" si="10"/>
        <v>2.61</v>
      </c>
      <c r="F99" s="28">
        <f t="shared" si="11"/>
        <v>1.4938777944337671</v>
      </c>
      <c r="G99" s="29">
        <f t="shared" si="12"/>
        <v>0</v>
      </c>
      <c r="H99" s="34">
        <f t="shared" si="14"/>
        <v>0</v>
      </c>
      <c r="I99" s="34">
        <f t="shared" si="15"/>
        <v>0</v>
      </c>
      <c r="J99" s="37">
        <f t="shared" si="16"/>
        <v>0</v>
      </c>
      <c r="K99" s="34">
        <f t="shared" si="17"/>
        <v>0.41773931031535183</v>
      </c>
      <c r="L99" s="37">
        <f t="shared" si="18"/>
        <v>2.8579652620649205</v>
      </c>
      <c r="M99" s="34">
        <f t="shared" si="19"/>
        <v>9.3354382811719798</v>
      </c>
      <c r="N99" s="37">
        <f t="shared" si="20"/>
        <v>0.71559883734031693</v>
      </c>
      <c r="O99" s="37"/>
      <c r="P99" s="34"/>
      <c r="Q99" s="37"/>
      <c r="R99" s="37"/>
      <c r="S99" s="33">
        <f t="shared" si="13"/>
        <v>13.326741690892568</v>
      </c>
    </row>
    <row r="100" spans="4:19" ht="13.2" x14ac:dyDescent="0.25">
      <c r="D100" s="32">
        <v>59</v>
      </c>
      <c r="E100" s="27">
        <f t="shared" si="10"/>
        <v>2.6549999999999998</v>
      </c>
      <c r="F100" s="28">
        <f t="shared" si="11"/>
        <v>1.4586381785997946</v>
      </c>
      <c r="G100" s="29">
        <f t="shared" si="12"/>
        <v>0</v>
      </c>
      <c r="H100" s="34">
        <f t="shared" si="14"/>
        <v>0</v>
      </c>
      <c r="I100" s="34">
        <f t="shared" si="15"/>
        <v>0</v>
      </c>
      <c r="J100" s="37">
        <f t="shared" si="16"/>
        <v>0</v>
      </c>
      <c r="K100" s="34">
        <f t="shared" si="17"/>
        <v>0.43380620686594223</v>
      </c>
      <c r="L100" s="37">
        <f t="shared" si="18"/>
        <v>3.0167411099574157</v>
      </c>
      <c r="M100" s="34">
        <f t="shared" si="19"/>
        <v>10.268982109289176</v>
      </c>
      <c r="N100" s="37">
        <f t="shared" si="20"/>
        <v>1.0733982560104753</v>
      </c>
      <c r="O100" s="37"/>
      <c r="P100" s="34"/>
      <c r="Q100" s="37"/>
      <c r="R100" s="37"/>
      <c r="S100" s="33">
        <f t="shared" si="13"/>
        <v>14.792927682123009</v>
      </c>
    </row>
    <row r="101" spans="4:19" ht="13.2" x14ac:dyDescent="0.25">
      <c r="D101" s="32">
        <v>60</v>
      </c>
      <c r="E101" s="27">
        <f t="shared" si="10"/>
        <v>2.6999999999999997</v>
      </c>
      <c r="F101" s="28">
        <f t="shared" si="11"/>
        <v>1.4233985627658221</v>
      </c>
      <c r="G101" s="29">
        <f t="shared" si="12"/>
        <v>0</v>
      </c>
      <c r="H101" s="34">
        <f t="shared" si="14"/>
        <v>0</v>
      </c>
      <c r="I101" s="34">
        <f t="shared" si="15"/>
        <v>0</v>
      </c>
      <c r="J101" s="37">
        <f t="shared" si="16"/>
        <v>0</v>
      </c>
      <c r="K101" s="34">
        <f t="shared" si="17"/>
        <v>0.44987310341653275</v>
      </c>
      <c r="L101" s="37">
        <f t="shared" si="18"/>
        <v>3.1755169578499114</v>
      </c>
      <c r="M101" s="34">
        <f t="shared" si="19"/>
        <v>11.202525937406376</v>
      </c>
      <c r="N101" s="37">
        <f t="shared" si="20"/>
        <v>1.4311976746806339</v>
      </c>
      <c r="O101" s="37"/>
      <c r="P101" s="34"/>
      <c r="Q101" s="37"/>
      <c r="R101" s="37"/>
      <c r="S101" s="33">
        <f t="shared" si="13"/>
        <v>16.259113673353454</v>
      </c>
    </row>
    <row r="102" spans="4:19" ht="13.2" x14ac:dyDescent="0.25">
      <c r="D102" s="32">
        <v>61</v>
      </c>
      <c r="E102" s="27">
        <f t="shared" si="10"/>
        <v>2.7450000000000001</v>
      </c>
      <c r="F102" s="28">
        <f t="shared" si="11"/>
        <v>1.3881589469318492</v>
      </c>
      <c r="G102" s="29">
        <f t="shared" si="12"/>
        <v>0</v>
      </c>
      <c r="H102" s="34">
        <f t="shared" si="14"/>
        <v>0</v>
      </c>
      <c r="I102" s="34">
        <f t="shared" si="15"/>
        <v>0</v>
      </c>
      <c r="J102" s="37">
        <f t="shared" si="16"/>
        <v>0</v>
      </c>
      <c r="K102" s="34">
        <f t="shared" si="17"/>
        <v>0.46593999996712321</v>
      </c>
      <c r="L102" s="37">
        <f t="shared" si="18"/>
        <v>3.3342928057424075</v>
      </c>
      <c r="M102" s="34">
        <f t="shared" si="19"/>
        <v>12.136069765523573</v>
      </c>
      <c r="N102" s="37">
        <f t="shared" si="20"/>
        <v>1.7889970933507922</v>
      </c>
      <c r="O102" s="37"/>
      <c r="P102" s="34"/>
      <c r="Q102" s="37"/>
      <c r="R102" s="37"/>
      <c r="S102" s="33">
        <f t="shared" si="13"/>
        <v>17.725299664583893</v>
      </c>
    </row>
    <row r="103" spans="4:19" ht="13.2" x14ac:dyDescent="0.25">
      <c r="D103" s="32">
        <v>62</v>
      </c>
      <c r="E103" s="27">
        <f t="shared" si="10"/>
        <v>2.79</v>
      </c>
      <c r="F103" s="28">
        <f t="shared" si="11"/>
        <v>1.3529193310978767</v>
      </c>
      <c r="G103" s="29">
        <f t="shared" si="12"/>
        <v>0</v>
      </c>
      <c r="H103" s="34">
        <f t="shared" si="14"/>
        <v>0</v>
      </c>
      <c r="I103" s="34">
        <f t="shared" si="15"/>
        <v>0</v>
      </c>
      <c r="J103" s="37">
        <f t="shared" si="16"/>
        <v>0</v>
      </c>
      <c r="K103" s="34">
        <f t="shared" si="17"/>
        <v>0.48200689651771361</v>
      </c>
      <c r="L103" s="37">
        <f t="shared" si="18"/>
        <v>3.4930686536349027</v>
      </c>
      <c r="M103" s="34">
        <f t="shared" si="19"/>
        <v>13.069613593640772</v>
      </c>
      <c r="N103" s="37">
        <f t="shared" si="20"/>
        <v>2.1467965120209507</v>
      </c>
      <c r="O103" s="37"/>
      <c r="P103" s="34"/>
      <c r="Q103" s="37"/>
      <c r="R103" s="37"/>
      <c r="S103" s="33">
        <f t="shared" si="13"/>
        <v>19.19148565581434</v>
      </c>
    </row>
    <row r="104" spans="4:19" ht="13.2" x14ac:dyDescent="0.25">
      <c r="D104" s="32">
        <v>63</v>
      </c>
      <c r="E104" s="27">
        <f t="shared" si="10"/>
        <v>2.835</v>
      </c>
      <c r="F104" s="28">
        <f t="shared" si="11"/>
        <v>1.3176797152639041</v>
      </c>
      <c r="G104" s="29">
        <f t="shared" si="12"/>
        <v>0</v>
      </c>
      <c r="H104" s="34">
        <f t="shared" si="14"/>
        <v>0</v>
      </c>
      <c r="I104" s="34">
        <f t="shared" si="15"/>
        <v>0</v>
      </c>
      <c r="J104" s="37">
        <f t="shared" si="16"/>
        <v>0</v>
      </c>
      <c r="K104" s="34">
        <f t="shared" si="17"/>
        <v>0.49807379306830413</v>
      </c>
      <c r="L104" s="37">
        <f t="shared" si="18"/>
        <v>3.6518445015273984</v>
      </c>
      <c r="M104" s="34">
        <f t="shared" si="19"/>
        <v>14.003157421757967</v>
      </c>
      <c r="N104" s="37">
        <f t="shared" si="20"/>
        <v>2.5045959306911092</v>
      </c>
      <c r="O104" s="37"/>
      <c r="P104" s="34"/>
      <c r="Q104" s="37"/>
      <c r="R104" s="37"/>
      <c r="S104" s="33">
        <f t="shared" si="13"/>
        <v>20.657671647044779</v>
      </c>
    </row>
    <row r="105" spans="4:19" ht="13.2" x14ac:dyDescent="0.25">
      <c r="D105" s="32">
        <v>64</v>
      </c>
      <c r="E105" s="27">
        <f t="shared" si="10"/>
        <v>2.88</v>
      </c>
      <c r="F105" s="28">
        <f t="shared" si="11"/>
        <v>1.2824400994299316</v>
      </c>
      <c r="G105" s="29">
        <f t="shared" si="12"/>
        <v>0</v>
      </c>
      <c r="H105" s="34">
        <f t="shared" si="14"/>
        <v>0</v>
      </c>
      <c r="I105" s="34">
        <f t="shared" si="15"/>
        <v>0</v>
      </c>
      <c r="J105" s="37">
        <f t="shared" si="16"/>
        <v>0</v>
      </c>
      <c r="K105" s="34">
        <f t="shared" si="17"/>
        <v>0.51414068961889459</v>
      </c>
      <c r="L105" s="37">
        <f t="shared" si="18"/>
        <v>3.810620349419894</v>
      </c>
      <c r="M105" s="34">
        <f t="shared" si="19"/>
        <v>14.936701249875167</v>
      </c>
      <c r="N105" s="37">
        <f t="shared" si="20"/>
        <v>2.8623953493612677</v>
      </c>
      <c r="O105" s="37">
        <f t="shared" ref="O105:O205" si="21">F41*$S$14</f>
        <v>0</v>
      </c>
      <c r="P105" s="34"/>
      <c r="Q105" s="37"/>
      <c r="R105" s="37"/>
      <c r="S105" s="33">
        <f t="shared" si="13"/>
        <v>22.123857638275222</v>
      </c>
    </row>
    <row r="106" spans="4:19" ht="13.2" x14ac:dyDescent="0.25">
      <c r="D106" s="32">
        <v>65</v>
      </c>
      <c r="E106" s="27">
        <f t="shared" si="10"/>
        <v>2.9249999999999998</v>
      </c>
      <c r="F106" s="28">
        <f t="shared" si="11"/>
        <v>1.2472004835959591</v>
      </c>
      <c r="G106" s="29">
        <f t="shared" si="12"/>
        <v>0</v>
      </c>
      <c r="H106" s="34">
        <f t="shared" si="14"/>
        <v>0</v>
      </c>
      <c r="I106" s="34">
        <f t="shared" si="15"/>
        <v>0</v>
      </c>
      <c r="J106" s="37">
        <f t="shared" si="16"/>
        <v>0</v>
      </c>
      <c r="K106" s="34">
        <f t="shared" si="17"/>
        <v>0.53020758616948493</v>
      </c>
      <c r="L106" s="37">
        <f t="shared" si="18"/>
        <v>3.9693961973123892</v>
      </c>
      <c r="M106" s="34">
        <f t="shared" si="19"/>
        <v>15.870245077992365</v>
      </c>
      <c r="N106" s="37">
        <f t="shared" si="20"/>
        <v>3.2201947680314262</v>
      </c>
      <c r="O106" s="37">
        <f t="shared" si="21"/>
        <v>0.2722784696818612</v>
      </c>
      <c r="P106" s="34"/>
      <c r="Q106" s="37"/>
      <c r="R106" s="37"/>
      <c r="S106" s="33">
        <f t="shared" si="13"/>
        <v>23.862322099187526</v>
      </c>
    </row>
    <row r="107" spans="4:19" ht="13.2" x14ac:dyDescent="0.25">
      <c r="D107" s="32">
        <v>66</v>
      </c>
      <c r="E107" s="27">
        <f t="shared" si="10"/>
        <v>2.9699999999999998</v>
      </c>
      <c r="F107" s="28">
        <f t="shared" si="11"/>
        <v>1.2119608677619866</v>
      </c>
      <c r="G107" s="29">
        <f t="shared" si="12"/>
        <v>0</v>
      </c>
      <c r="H107" s="34">
        <f t="shared" si="14"/>
        <v>0</v>
      </c>
      <c r="I107" s="34">
        <f t="shared" si="15"/>
        <v>0</v>
      </c>
      <c r="J107" s="37">
        <f t="shared" si="16"/>
        <v>0</v>
      </c>
      <c r="K107" s="34">
        <f t="shared" si="17"/>
        <v>0.54627448272007539</v>
      </c>
      <c r="L107" s="37">
        <f t="shared" si="18"/>
        <v>4.1281720452048853</v>
      </c>
      <c r="M107" s="34">
        <f t="shared" si="19"/>
        <v>16.803788906109563</v>
      </c>
      <c r="N107" s="37">
        <f t="shared" si="20"/>
        <v>3.5779941867015843</v>
      </c>
      <c r="O107" s="37">
        <f t="shared" si="21"/>
        <v>0.5445569393637224</v>
      </c>
      <c r="P107" s="34"/>
      <c r="Q107" s="37"/>
      <c r="R107" s="37"/>
      <c r="S107" s="33">
        <f t="shared" si="13"/>
        <v>25.600786560099831</v>
      </c>
    </row>
    <row r="108" spans="4:19" ht="13.2" x14ac:dyDescent="0.25">
      <c r="D108" s="32">
        <v>67</v>
      </c>
      <c r="E108" s="27">
        <f t="shared" si="10"/>
        <v>3.0149999999999997</v>
      </c>
      <c r="F108" s="28">
        <f t="shared" si="11"/>
        <v>1.1767212519280141</v>
      </c>
      <c r="G108" s="29">
        <f t="shared" si="12"/>
        <v>0</v>
      </c>
      <c r="H108" s="34">
        <f t="shared" si="14"/>
        <v>0</v>
      </c>
      <c r="I108" s="34">
        <f t="shared" si="15"/>
        <v>0</v>
      </c>
      <c r="J108" s="37">
        <f t="shared" si="16"/>
        <v>0</v>
      </c>
      <c r="K108" s="34">
        <f t="shared" si="17"/>
        <v>0.56234137927066585</v>
      </c>
      <c r="L108" s="37">
        <f t="shared" si="18"/>
        <v>4.2869478930973806</v>
      </c>
      <c r="M108" s="34">
        <f t="shared" si="19"/>
        <v>17.737332734226758</v>
      </c>
      <c r="N108" s="37">
        <f t="shared" si="20"/>
        <v>3.9357936053717428</v>
      </c>
      <c r="O108" s="37">
        <f t="shared" si="21"/>
        <v>0.8168354090455836</v>
      </c>
      <c r="P108" s="34"/>
      <c r="Q108" s="37"/>
      <c r="R108" s="37"/>
      <c r="S108" s="33">
        <f t="shared" si="13"/>
        <v>27.339251021012132</v>
      </c>
    </row>
    <row r="109" spans="4:19" ht="13.2" x14ac:dyDescent="0.25">
      <c r="D109" s="32">
        <v>68</v>
      </c>
      <c r="E109" s="27">
        <f t="shared" si="10"/>
        <v>3.06</v>
      </c>
      <c r="F109" s="28">
        <f t="shared" si="11"/>
        <v>1.1414816360940412</v>
      </c>
      <c r="G109" s="29">
        <f t="shared" si="12"/>
        <v>0</v>
      </c>
      <c r="H109" s="34">
        <f t="shared" si="14"/>
        <v>0</v>
      </c>
      <c r="I109" s="34">
        <f t="shared" si="15"/>
        <v>0</v>
      </c>
      <c r="J109" s="37">
        <f t="shared" si="16"/>
        <v>0</v>
      </c>
      <c r="K109" s="34">
        <f t="shared" si="17"/>
        <v>0.57840827582125642</v>
      </c>
      <c r="L109" s="37">
        <f t="shared" si="18"/>
        <v>4.4457237409898767</v>
      </c>
      <c r="M109" s="34">
        <f t="shared" si="19"/>
        <v>18.67087656234396</v>
      </c>
      <c r="N109" s="37">
        <f t="shared" si="20"/>
        <v>4.2935930240419014</v>
      </c>
      <c r="O109" s="37">
        <f t="shared" si="21"/>
        <v>1.0891138787274448</v>
      </c>
      <c r="P109" s="34"/>
      <c r="Q109" s="37"/>
      <c r="R109" s="37"/>
      <c r="S109" s="33">
        <f t="shared" si="13"/>
        <v>29.077715481924439</v>
      </c>
    </row>
    <row r="110" spans="4:19" ht="13.2" x14ac:dyDescent="0.25">
      <c r="D110" s="32">
        <v>69</v>
      </c>
      <c r="E110" s="27">
        <f t="shared" si="10"/>
        <v>3.105</v>
      </c>
      <c r="F110" s="28">
        <f t="shared" si="11"/>
        <v>1.1062420202600687</v>
      </c>
      <c r="G110" s="29">
        <f t="shared" si="12"/>
        <v>0</v>
      </c>
      <c r="H110" s="34">
        <f t="shared" si="14"/>
        <v>0</v>
      </c>
      <c r="I110" s="34">
        <f t="shared" si="15"/>
        <v>0</v>
      </c>
      <c r="J110" s="37">
        <f t="shared" si="16"/>
        <v>0</v>
      </c>
      <c r="K110" s="34">
        <f t="shared" si="17"/>
        <v>0.59447517237184677</v>
      </c>
      <c r="L110" s="37">
        <f t="shared" si="18"/>
        <v>4.6044995888823719</v>
      </c>
      <c r="M110" s="34">
        <f t="shared" si="19"/>
        <v>19.604420390461158</v>
      </c>
      <c r="N110" s="37">
        <f t="shared" si="20"/>
        <v>4.6513924427120594</v>
      </c>
      <c r="O110" s="37">
        <f t="shared" si="21"/>
        <v>1.3613923484093058</v>
      </c>
      <c r="P110" s="34"/>
      <c r="Q110" s="37"/>
      <c r="R110" s="37"/>
      <c r="S110" s="33">
        <f t="shared" si="13"/>
        <v>30.816179942836744</v>
      </c>
    </row>
    <row r="111" spans="4:19" ht="13.2" x14ac:dyDescent="0.25">
      <c r="D111" s="32">
        <v>70</v>
      </c>
      <c r="E111" s="27">
        <f t="shared" si="10"/>
        <v>3.15</v>
      </c>
      <c r="F111" s="28">
        <f t="shared" si="11"/>
        <v>1.0710024044260962</v>
      </c>
      <c r="G111" s="29">
        <f t="shared" si="12"/>
        <v>0</v>
      </c>
      <c r="H111" s="34">
        <f t="shared" si="14"/>
        <v>0</v>
      </c>
      <c r="I111" s="34">
        <f t="shared" si="15"/>
        <v>0</v>
      </c>
      <c r="J111" s="37">
        <f t="shared" si="16"/>
        <v>0</v>
      </c>
      <c r="K111" s="34">
        <f t="shared" si="17"/>
        <v>0.60026695184696999</v>
      </c>
      <c r="L111" s="37">
        <f t="shared" si="18"/>
        <v>4.7632754367748671</v>
      </c>
      <c r="M111" s="34">
        <f t="shared" si="19"/>
        <v>20.537964218578352</v>
      </c>
      <c r="N111" s="37">
        <f t="shared" si="20"/>
        <v>5.0091918613822184</v>
      </c>
      <c r="O111" s="37">
        <f t="shared" si="21"/>
        <v>1.6336708180911672</v>
      </c>
      <c r="P111" s="34"/>
      <c r="Q111" s="37"/>
      <c r="R111" s="37"/>
      <c r="S111" s="33">
        <f t="shared" si="13"/>
        <v>32.544369286673579</v>
      </c>
    </row>
    <row r="112" spans="4:19" ht="13.2" x14ac:dyDescent="0.25">
      <c r="D112" s="32">
        <v>71</v>
      </c>
      <c r="E112" s="27">
        <f t="shared" si="10"/>
        <v>3.1949999999999998</v>
      </c>
      <c r="F112" s="28">
        <f t="shared" si="11"/>
        <v>1.0357627885921232</v>
      </c>
      <c r="G112" s="29">
        <f t="shared" si="12"/>
        <v>0</v>
      </c>
      <c r="H112" s="34">
        <f t="shared" si="14"/>
        <v>0</v>
      </c>
      <c r="I112" s="34">
        <f t="shared" si="15"/>
        <v>0</v>
      </c>
      <c r="J112" s="37">
        <f t="shared" si="16"/>
        <v>0</v>
      </c>
      <c r="K112" s="34">
        <f t="shared" si="17"/>
        <v>0.59064605570889184</v>
      </c>
      <c r="L112" s="37">
        <f t="shared" si="18"/>
        <v>4.9220512846673632</v>
      </c>
      <c r="M112" s="34">
        <f t="shared" si="19"/>
        <v>21.471508046695551</v>
      </c>
      <c r="N112" s="37">
        <f t="shared" si="20"/>
        <v>5.3669912800523765</v>
      </c>
      <c r="O112" s="37">
        <f t="shared" si="21"/>
        <v>1.9059492877730284</v>
      </c>
      <c r="P112" s="34"/>
      <c r="Q112" s="37"/>
      <c r="R112" s="37"/>
      <c r="S112" s="33">
        <f t="shared" si="13"/>
        <v>34.257145954897211</v>
      </c>
    </row>
    <row r="113" spans="4:19" ht="13.2" x14ac:dyDescent="0.25">
      <c r="D113" s="32">
        <v>72</v>
      </c>
      <c r="E113" s="27">
        <f t="shared" si="10"/>
        <v>3.2399999999999998</v>
      </c>
      <c r="F113" s="28">
        <f t="shared" si="11"/>
        <v>1.0005231727581507</v>
      </c>
      <c r="G113" s="29">
        <f t="shared" si="12"/>
        <v>0</v>
      </c>
      <c r="H113" s="34">
        <f t="shared" si="14"/>
        <v>0</v>
      </c>
      <c r="I113" s="34">
        <f t="shared" si="15"/>
        <v>0</v>
      </c>
      <c r="J113" s="37">
        <f t="shared" si="16"/>
        <v>0</v>
      </c>
      <c r="K113" s="34">
        <f t="shared" si="17"/>
        <v>0.5810251595708138</v>
      </c>
      <c r="L113" s="37">
        <f t="shared" si="18"/>
        <v>5.0808271325598584</v>
      </c>
      <c r="M113" s="34">
        <f t="shared" si="19"/>
        <v>22.405051874812752</v>
      </c>
      <c r="N113" s="37">
        <f t="shared" si="20"/>
        <v>5.7247906987225354</v>
      </c>
      <c r="O113" s="37">
        <f t="shared" si="21"/>
        <v>2.1782277574548896</v>
      </c>
      <c r="P113" s="34">
        <f t="shared" ref="P113:P213" si="22">$S$15*F41</f>
        <v>0</v>
      </c>
      <c r="Q113" s="37"/>
      <c r="R113" s="37"/>
      <c r="S113" s="33">
        <f t="shared" si="13"/>
        <v>35.969922623120851</v>
      </c>
    </row>
    <row r="114" spans="4:19" ht="13.2" x14ac:dyDescent="0.25">
      <c r="D114" s="32">
        <v>73</v>
      </c>
      <c r="E114" s="27">
        <f t="shared" si="10"/>
        <v>3.2849999999999997</v>
      </c>
      <c r="F114" s="28">
        <f t="shared" si="11"/>
        <v>0.96528355692417822</v>
      </c>
      <c r="G114" s="29">
        <f t="shared" si="12"/>
        <v>0</v>
      </c>
      <c r="H114" s="34">
        <f t="shared" si="14"/>
        <v>0</v>
      </c>
      <c r="I114" s="34">
        <f t="shared" si="15"/>
        <v>0</v>
      </c>
      <c r="J114" s="37">
        <f t="shared" si="16"/>
        <v>0</v>
      </c>
      <c r="K114" s="34">
        <f t="shared" si="17"/>
        <v>0.57140426343273565</v>
      </c>
      <c r="L114" s="37">
        <f t="shared" si="18"/>
        <v>5.2396029804523536</v>
      </c>
      <c r="M114" s="34">
        <f t="shared" si="19"/>
        <v>23.338595702929947</v>
      </c>
      <c r="N114" s="37">
        <f t="shared" si="20"/>
        <v>6.0825901173926935</v>
      </c>
      <c r="O114" s="37">
        <f t="shared" si="21"/>
        <v>2.4505062271367506</v>
      </c>
      <c r="P114" s="34">
        <f t="shared" si="22"/>
        <v>0.23011618443890597</v>
      </c>
      <c r="Q114" s="37"/>
      <c r="R114" s="37"/>
      <c r="S114" s="33">
        <f t="shared" si="13"/>
        <v>37.912815475783383</v>
      </c>
    </row>
    <row r="115" spans="4:19" ht="13.2" x14ac:dyDescent="0.25">
      <c r="D115" s="32">
        <v>74</v>
      </c>
      <c r="E115" s="27">
        <f t="shared" si="10"/>
        <v>3.33</v>
      </c>
      <c r="F115" s="28">
        <f t="shared" si="11"/>
        <v>0.93004394109020527</v>
      </c>
      <c r="G115" s="29">
        <f t="shared" si="12"/>
        <v>0</v>
      </c>
      <c r="H115" s="34">
        <f t="shared" si="14"/>
        <v>0</v>
      </c>
      <c r="I115" s="34">
        <f t="shared" si="15"/>
        <v>0</v>
      </c>
      <c r="J115" s="37">
        <f t="shared" si="16"/>
        <v>0</v>
      </c>
      <c r="K115" s="34">
        <f t="shared" si="17"/>
        <v>0.5617833672946575</v>
      </c>
      <c r="L115" s="37">
        <f t="shared" si="18"/>
        <v>5.3983788283448497</v>
      </c>
      <c r="M115" s="34">
        <f t="shared" si="19"/>
        <v>24.272139531047145</v>
      </c>
      <c r="N115" s="37">
        <f t="shared" si="20"/>
        <v>6.4403895360628525</v>
      </c>
      <c r="O115" s="37">
        <f t="shared" si="21"/>
        <v>2.7227846968186116</v>
      </c>
      <c r="P115" s="34">
        <f t="shared" si="22"/>
        <v>0.46023236887781194</v>
      </c>
      <c r="Q115" s="37"/>
      <c r="R115" s="37"/>
      <c r="S115" s="33">
        <f t="shared" si="13"/>
        <v>39.855708328445928</v>
      </c>
    </row>
    <row r="116" spans="4:19" ht="13.2" x14ac:dyDescent="0.25">
      <c r="D116" s="32">
        <v>75</v>
      </c>
      <c r="E116" s="27">
        <f t="shared" si="10"/>
        <v>3.375</v>
      </c>
      <c r="F116" s="28">
        <f t="shared" si="11"/>
        <v>0.89480432525623277</v>
      </c>
      <c r="G116" s="29">
        <f t="shared" si="12"/>
        <v>0</v>
      </c>
      <c r="H116" s="34">
        <f t="shared" si="14"/>
        <v>0</v>
      </c>
      <c r="I116" s="34">
        <f t="shared" si="15"/>
        <v>0</v>
      </c>
      <c r="J116" s="37">
        <f t="shared" si="16"/>
        <v>0</v>
      </c>
      <c r="K116" s="34">
        <f t="shared" si="17"/>
        <v>0.55216247115657935</v>
      </c>
      <c r="L116" s="37">
        <f t="shared" si="18"/>
        <v>5.5571546762373449</v>
      </c>
      <c r="M116" s="34">
        <f t="shared" si="19"/>
        <v>25.205683359164343</v>
      </c>
      <c r="N116" s="37">
        <f t="shared" si="20"/>
        <v>6.7981889547330097</v>
      </c>
      <c r="O116" s="37">
        <f t="shared" si="21"/>
        <v>2.9950631665004726</v>
      </c>
      <c r="P116" s="34">
        <f t="shared" si="22"/>
        <v>0.69034855331671796</v>
      </c>
      <c r="Q116" s="37"/>
      <c r="R116" s="37"/>
      <c r="S116" s="33">
        <f t="shared" si="13"/>
        <v>41.798601181108467</v>
      </c>
    </row>
    <row r="117" spans="4:19" ht="13.2" x14ac:dyDescent="0.25">
      <c r="D117" s="32">
        <v>76</v>
      </c>
      <c r="E117" s="27">
        <f t="shared" si="10"/>
        <v>3.42</v>
      </c>
      <c r="F117" s="28">
        <f t="shared" si="11"/>
        <v>0.85956470942226026</v>
      </c>
      <c r="G117" s="29">
        <f t="shared" si="12"/>
        <v>0</v>
      </c>
      <c r="H117" s="34">
        <f t="shared" si="14"/>
        <v>0</v>
      </c>
      <c r="I117" s="34">
        <f t="shared" si="15"/>
        <v>0</v>
      </c>
      <c r="J117" s="37">
        <f t="shared" si="16"/>
        <v>0</v>
      </c>
      <c r="K117" s="34">
        <f t="shared" si="17"/>
        <v>0.5425415750185012</v>
      </c>
      <c r="L117" s="37">
        <f t="shared" si="18"/>
        <v>5.715930524129841</v>
      </c>
      <c r="M117" s="34">
        <f t="shared" si="19"/>
        <v>26.139227187281545</v>
      </c>
      <c r="N117" s="37">
        <f t="shared" si="20"/>
        <v>7.1559883734031686</v>
      </c>
      <c r="O117" s="37">
        <f t="shared" si="21"/>
        <v>3.2673416361823344</v>
      </c>
      <c r="P117" s="34">
        <f t="shared" si="22"/>
        <v>0.92046473775562387</v>
      </c>
      <c r="Q117" s="37"/>
      <c r="R117" s="37"/>
      <c r="S117" s="33">
        <f t="shared" si="13"/>
        <v>43.741494033771012</v>
      </c>
    </row>
    <row r="118" spans="4:19" ht="13.2" x14ac:dyDescent="0.25">
      <c r="D118" s="32">
        <v>77</v>
      </c>
      <c r="E118" s="27">
        <f t="shared" si="10"/>
        <v>3.4649999999999999</v>
      </c>
      <c r="F118" s="28">
        <f t="shared" si="11"/>
        <v>0.82432509358828776</v>
      </c>
      <c r="G118" s="29">
        <f t="shared" si="12"/>
        <v>0</v>
      </c>
      <c r="H118" s="34">
        <f t="shared" si="14"/>
        <v>0</v>
      </c>
      <c r="I118" s="34">
        <f t="shared" si="15"/>
        <v>0</v>
      </c>
      <c r="J118" s="37">
        <f t="shared" si="16"/>
        <v>0</v>
      </c>
      <c r="K118" s="34">
        <f t="shared" si="17"/>
        <v>0.53292067888042316</v>
      </c>
      <c r="L118" s="37">
        <f t="shared" si="18"/>
        <v>5.8747063720223363</v>
      </c>
      <c r="M118" s="34">
        <f t="shared" si="19"/>
        <v>27.07277101539874</v>
      </c>
      <c r="N118" s="37">
        <f t="shared" si="20"/>
        <v>7.5137877920733276</v>
      </c>
      <c r="O118" s="37">
        <f t="shared" si="21"/>
        <v>3.5396201058641954</v>
      </c>
      <c r="P118" s="34">
        <f t="shared" si="22"/>
        <v>1.1505809221945298</v>
      </c>
      <c r="Q118" s="37"/>
      <c r="R118" s="37"/>
      <c r="S118" s="33">
        <f t="shared" si="13"/>
        <v>45.684386886433551</v>
      </c>
    </row>
    <row r="119" spans="4:19" ht="13.2" x14ac:dyDescent="0.25">
      <c r="D119" s="32">
        <v>78</v>
      </c>
      <c r="E119" s="27">
        <f t="shared" si="10"/>
        <v>3.51</v>
      </c>
      <c r="F119" s="28">
        <f t="shared" si="11"/>
        <v>0.78908547775431526</v>
      </c>
      <c r="G119" s="29">
        <f t="shared" si="12"/>
        <v>0</v>
      </c>
      <c r="H119" s="34">
        <f t="shared" si="14"/>
        <v>0</v>
      </c>
      <c r="I119" s="34">
        <f t="shared" si="15"/>
        <v>0</v>
      </c>
      <c r="J119" s="37">
        <f t="shared" si="16"/>
        <v>0</v>
      </c>
      <c r="K119" s="34">
        <f t="shared" si="17"/>
        <v>0.52329978274234512</v>
      </c>
      <c r="L119" s="37">
        <f t="shared" si="18"/>
        <v>5.9319417375500514</v>
      </c>
      <c r="M119" s="34">
        <f t="shared" si="19"/>
        <v>28.006314843515934</v>
      </c>
      <c r="N119" s="37">
        <f t="shared" si="20"/>
        <v>7.8715872107434857</v>
      </c>
      <c r="O119" s="37">
        <f t="shared" si="21"/>
        <v>3.8118985755460568</v>
      </c>
      <c r="P119" s="34">
        <f t="shared" si="22"/>
        <v>1.3806971066334359</v>
      </c>
      <c r="Q119" s="37"/>
      <c r="R119" s="37"/>
      <c r="S119" s="33">
        <f t="shared" si="13"/>
        <v>47.525739256731306</v>
      </c>
    </row>
    <row r="120" spans="4:19" ht="13.2" x14ac:dyDescent="0.25">
      <c r="D120" s="32">
        <v>79</v>
      </c>
      <c r="E120" s="27">
        <f t="shared" si="10"/>
        <v>3.5549999999999997</v>
      </c>
      <c r="F120" s="28">
        <f t="shared" si="11"/>
        <v>0.75384586192034275</v>
      </c>
      <c r="G120" s="29">
        <f t="shared" si="12"/>
        <v>0</v>
      </c>
      <c r="H120" s="34">
        <f t="shared" si="14"/>
        <v>0</v>
      </c>
      <c r="I120" s="34">
        <f t="shared" si="15"/>
        <v>0</v>
      </c>
      <c r="J120" s="37">
        <f t="shared" si="16"/>
        <v>0</v>
      </c>
      <c r="K120" s="34">
        <f t="shared" si="17"/>
        <v>0.51367888660426697</v>
      </c>
      <c r="L120" s="37">
        <f t="shared" si="18"/>
        <v>5.8368663795305933</v>
      </c>
      <c r="M120" s="34">
        <f t="shared" si="19"/>
        <v>28.939858671633139</v>
      </c>
      <c r="N120" s="37">
        <f t="shared" si="20"/>
        <v>8.2293866294136446</v>
      </c>
      <c r="O120" s="37">
        <f t="shared" si="21"/>
        <v>4.0841770452279169</v>
      </c>
      <c r="P120" s="34">
        <f t="shared" si="22"/>
        <v>1.6108132910723421</v>
      </c>
      <c r="Q120" s="37"/>
      <c r="R120" s="37"/>
      <c r="S120" s="33">
        <f t="shared" si="13"/>
        <v>49.214780903481902</v>
      </c>
    </row>
    <row r="121" spans="4:19" ht="13.2" x14ac:dyDescent="0.25">
      <c r="D121" s="32">
        <v>80</v>
      </c>
      <c r="E121" s="27">
        <f t="shared" si="10"/>
        <v>3.5999999999999996</v>
      </c>
      <c r="F121" s="28">
        <f t="shared" si="11"/>
        <v>0.71860624608637025</v>
      </c>
      <c r="G121" s="29">
        <f t="shared" si="12"/>
        <v>0</v>
      </c>
      <c r="H121" s="34">
        <f t="shared" si="14"/>
        <v>0</v>
      </c>
      <c r="I121" s="34">
        <f t="shared" si="15"/>
        <v>0</v>
      </c>
      <c r="J121" s="37">
        <f t="shared" si="16"/>
        <v>0</v>
      </c>
      <c r="K121" s="34">
        <f t="shared" si="17"/>
        <v>0.50405799046618882</v>
      </c>
      <c r="L121" s="37">
        <f t="shared" si="18"/>
        <v>5.7417910215111352</v>
      </c>
      <c r="M121" s="34">
        <f t="shared" si="19"/>
        <v>29.873402499750334</v>
      </c>
      <c r="N121" s="37">
        <f t="shared" si="20"/>
        <v>8.5871860480838027</v>
      </c>
      <c r="O121" s="37">
        <f t="shared" si="21"/>
        <v>4.3564555149097792</v>
      </c>
      <c r="P121" s="34">
        <f t="shared" si="22"/>
        <v>1.8409294755112477</v>
      </c>
      <c r="Q121" s="37">
        <f t="shared" ref="Q121:Q221" si="23">F41*$S$16</f>
        <v>0</v>
      </c>
      <c r="R121" s="37"/>
      <c r="S121" s="33">
        <f t="shared" si="13"/>
        <v>50.903822550232476</v>
      </c>
    </row>
    <row r="122" spans="4:19" ht="13.2" x14ac:dyDescent="0.25">
      <c r="D122" s="32">
        <v>81</v>
      </c>
      <c r="E122" s="27">
        <f t="shared" si="10"/>
        <v>3.645</v>
      </c>
      <c r="F122" s="28">
        <f t="shared" si="11"/>
        <v>0.6833666302523973</v>
      </c>
      <c r="G122" s="29">
        <f t="shared" si="12"/>
        <v>0</v>
      </c>
      <c r="H122" s="34">
        <f t="shared" si="14"/>
        <v>0</v>
      </c>
      <c r="I122" s="34">
        <f t="shared" si="15"/>
        <v>0</v>
      </c>
      <c r="J122" s="37">
        <f t="shared" si="16"/>
        <v>0</v>
      </c>
      <c r="K122" s="34">
        <f t="shared" si="17"/>
        <v>0.49443709432811062</v>
      </c>
      <c r="L122" s="37">
        <f t="shared" si="18"/>
        <v>5.6467156634916771</v>
      </c>
      <c r="M122" s="34">
        <f t="shared" si="19"/>
        <v>30.806946327867529</v>
      </c>
      <c r="N122" s="37">
        <f t="shared" si="20"/>
        <v>8.9449854667539608</v>
      </c>
      <c r="O122" s="37">
        <f t="shared" si="21"/>
        <v>4.6287339845916398</v>
      </c>
      <c r="P122" s="34">
        <f t="shared" si="22"/>
        <v>2.0710456599501539</v>
      </c>
      <c r="Q122" s="37">
        <f t="shared" si="23"/>
        <v>0.19212438915779007</v>
      </c>
      <c r="R122" s="37"/>
      <c r="S122" s="33">
        <f t="shared" si="13"/>
        <v>52.784988586140862</v>
      </c>
    </row>
    <row r="123" spans="4:19" ht="13.2" x14ac:dyDescent="0.25">
      <c r="D123" s="32">
        <v>82</v>
      </c>
      <c r="E123" s="27">
        <f t="shared" si="10"/>
        <v>3.69</v>
      </c>
      <c r="F123" s="28">
        <f t="shared" si="11"/>
        <v>0.6481270144184248</v>
      </c>
      <c r="G123" s="29">
        <f t="shared" si="12"/>
        <v>0</v>
      </c>
      <c r="H123" s="34">
        <f t="shared" si="14"/>
        <v>0</v>
      </c>
      <c r="I123" s="34">
        <f t="shared" si="15"/>
        <v>0</v>
      </c>
      <c r="J123" s="37">
        <f t="shared" si="16"/>
        <v>0</v>
      </c>
      <c r="K123" s="34">
        <f t="shared" si="17"/>
        <v>0.48481619819003252</v>
      </c>
      <c r="L123" s="37">
        <f t="shared" si="18"/>
        <v>5.5516403054722181</v>
      </c>
      <c r="M123" s="34">
        <f t="shared" si="19"/>
        <v>31.74049015598473</v>
      </c>
      <c r="N123" s="37">
        <f t="shared" si="20"/>
        <v>9.3027848854241189</v>
      </c>
      <c r="O123" s="37">
        <f t="shared" si="21"/>
        <v>4.9010124542735012</v>
      </c>
      <c r="P123" s="34">
        <f t="shared" si="22"/>
        <v>2.3011618443890596</v>
      </c>
      <c r="Q123" s="37">
        <f t="shared" si="23"/>
        <v>0.38424877831558013</v>
      </c>
      <c r="R123" s="37"/>
      <c r="S123" s="33">
        <f t="shared" si="13"/>
        <v>54.666154622049234</v>
      </c>
    </row>
    <row r="124" spans="4:19" ht="13.2" x14ac:dyDescent="0.25">
      <c r="D124" s="32">
        <v>83</v>
      </c>
      <c r="E124" s="27">
        <f t="shared" si="10"/>
        <v>3.7349999999999999</v>
      </c>
      <c r="F124" s="28">
        <f t="shared" si="11"/>
        <v>0.61288739858445229</v>
      </c>
      <c r="G124" s="29">
        <f t="shared" si="12"/>
        <v>0</v>
      </c>
      <c r="H124" s="34">
        <f t="shared" si="14"/>
        <v>0</v>
      </c>
      <c r="I124" s="34">
        <f t="shared" si="15"/>
        <v>0</v>
      </c>
      <c r="J124" s="37">
        <f t="shared" si="16"/>
        <v>0</v>
      </c>
      <c r="K124" s="34">
        <f t="shared" si="17"/>
        <v>0.47519530205195443</v>
      </c>
      <c r="L124" s="37">
        <f t="shared" si="18"/>
        <v>5.45656494745276</v>
      </c>
      <c r="M124" s="34">
        <f t="shared" si="19"/>
        <v>32.674033984101925</v>
      </c>
      <c r="N124" s="37">
        <f t="shared" si="20"/>
        <v>9.6605843040942769</v>
      </c>
      <c r="O124" s="37">
        <f t="shared" si="21"/>
        <v>5.1732909239553617</v>
      </c>
      <c r="P124" s="34">
        <f t="shared" si="22"/>
        <v>2.5312780288279657</v>
      </c>
      <c r="Q124" s="37">
        <f t="shared" si="23"/>
        <v>0.5763731674733702</v>
      </c>
      <c r="R124" s="37"/>
      <c r="S124" s="33">
        <f t="shared" si="13"/>
        <v>56.547320657957613</v>
      </c>
    </row>
    <row r="125" spans="4:19" ht="13.2" x14ac:dyDescent="0.25">
      <c r="D125" s="32">
        <v>84</v>
      </c>
      <c r="E125" s="27">
        <f t="shared" si="10"/>
        <v>3.78</v>
      </c>
      <c r="F125" s="28">
        <f t="shared" si="11"/>
        <v>0.57764778275047934</v>
      </c>
      <c r="G125" s="29">
        <f t="shared" si="12"/>
        <v>0</v>
      </c>
      <c r="H125" s="34">
        <f t="shared" si="14"/>
        <v>0</v>
      </c>
      <c r="I125" s="34">
        <f t="shared" si="15"/>
        <v>0</v>
      </c>
      <c r="J125" s="37">
        <f t="shared" si="16"/>
        <v>0</v>
      </c>
      <c r="K125" s="34">
        <f t="shared" si="17"/>
        <v>0.46557440591387633</v>
      </c>
      <c r="L125" s="37">
        <f t="shared" si="18"/>
        <v>5.361489589433301</v>
      </c>
      <c r="M125" s="34">
        <f t="shared" si="19"/>
        <v>33.607577812219127</v>
      </c>
      <c r="N125" s="37">
        <f t="shared" si="20"/>
        <v>10.018383722764437</v>
      </c>
      <c r="O125" s="37">
        <f t="shared" si="21"/>
        <v>5.4455693936372231</v>
      </c>
      <c r="P125" s="34">
        <f t="shared" si="22"/>
        <v>2.7613942132668718</v>
      </c>
      <c r="Q125" s="37">
        <f t="shared" si="23"/>
        <v>0.76849755663116026</v>
      </c>
      <c r="R125" s="37"/>
      <c r="S125" s="33">
        <f t="shared" si="13"/>
        <v>58.428486693865992</v>
      </c>
    </row>
    <row r="126" spans="4:19" ht="13.2" x14ac:dyDescent="0.25">
      <c r="D126" s="32">
        <v>85</v>
      </c>
      <c r="E126" s="27">
        <f t="shared" si="10"/>
        <v>3.8249999999999997</v>
      </c>
      <c r="F126" s="28">
        <f t="shared" si="11"/>
        <v>0.54240816691650684</v>
      </c>
      <c r="G126" s="29">
        <f t="shared" si="12"/>
        <v>0</v>
      </c>
      <c r="H126" s="34">
        <f t="shared" si="14"/>
        <v>0</v>
      </c>
      <c r="I126" s="34">
        <f t="shared" si="15"/>
        <v>0</v>
      </c>
      <c r="J126" s="37">
        <f t="shared" si="16"/>
        <v>0</v>
      </c>
      <c r="K126" s="34">
        <f t="shared" si="17"/>
        <v>0.45595350977579829</v>
      </c>
      <c r="L126" s="37">
        <f t="shared" si="18"/>
        <v>5.2664142314138429</v>
      </c>
      <c r="M126" s="34">
        <f t="shared" si="19"/>
        <v>34.541121640336321</v>
      </c>
      <c r="N126" s="37">
        <f t="shared" si="20"/>
        <v>10.376183141434595</v>
      </c>
      <c r="O126" s="37">
        <f t="shared" si="21"/>
        <v>5.7178478633190846</v>
      </c>
      <c r="P126" s="34">
        <f t="shared" si="22"/>
        <v>2.9915103977057775</v>
      </c>
      <c r="Q126" s="37">
        <f t="shared" si="23"/>
        <v>0.96062194578895033</v>
      </c>
      <c r="R126" s="37"/>
      <c r="S126" s="33">
        <f t="shared" si="13"/>
        <v>60.309652729774378</v>
      </c>
    </row>
    <row r="127" spans="4:19" ht="13.2" x14ac:dyDescent="0.25">
      <c r="D127" s="32">
        <v>86</v>
      </c>
      <c r="E127" s="27">
        <f t="shared" si="10"/>
        <v>3.8699999999999997</v>
      </c>
      <c r="F127" s="28">
        <f t="shared" si="11"/>
        <v>0.50716855108253434</v>
      </c>
      <c r="G127" s="29">
        <f t="shared" si="12"/>
        <v>0</v>
      </c>
      <c r="H127" s="34">
        <f t="shared" si="14"/>
        <v>0</v>
      </c>
      <c r="I127" s="34">
        <f t="shared" si="15"/>
        <v>0</v>
      </c>
      <c r="J127" s="37">
        <f t="shared" si="16"/>
        <v>0</v>
      </c>
      <c r="K127" s="34">
        <f t="shared" si="17"/>
        <v>0.44633261363772014</v>
      </c>
      <c r="L127" s="37">
        <f t="shared" si="18"/>
        <v>5.1713388733943848</v>
      </c>
      <c r="M127" s="34">
        <f t="shared" si="19"/>
        <v>34.877644625082766</v>
      </c>
      <c r="N127" s="37">
        <f t="shared" si="20"/>
        <v>10.733982560104753</v>
      </c>
      <c r="O127" s="37">
        <f t="shared" si="21"/>
        <v>5.9901263330009451</v>
      </c>
      <c r="P127" s="34">
        <f t="shared" si="22"/>
        <v>3.2216265821446841</v>
      </c>
      <c r="Q127" s="37">
        <f t="shared" si="23"/>
        <v>1.1527463349467404</v>
      </c>
      <c r="R127" s="37"/>
      <c r="S127" s="33">
        <f t="shared" si="13"/>
        <v>61.593797922312</v>
      </c>
    </row>
    <row r="128" spans="4:19" ht="13.2" x14ac:dyDescent="0.25">
      <c r="D128" s="32">
        <v>87</v>
      </c>
      <c r="E128" s="27">
        <f t="shared" si="10"/>
        <v>3.915</v>
      </c>
      <c r="F128" s="28">
        <f t="shared" si="11"/>
        <v>0.47192893524856139</v>
      </c>
      <c r="G128" s="29">
        <f t="shared" si="12"/>
        <v>0</v>
      </c>
      <c r="H128" s="34">
        <f t="shared" si="14"/>
        <v>0</v>
      </c>
      <c r="I128" s="34">
        <f t="shared" si="15"/>
        <v>0</v>
      </c>
      <c r="J128" s="37">
        <f t="shared" si="16"/>
        <v>0</v>
      </c>
      <c r="K128" s="34">
        <f t="shared" si="17"/>
        <v>0.43671171749964199</v>
      </c>
      <c r="L128" s="37">
        <f t="shared" si="18"/>
        <v>5.0762635153749258</v>
      </c>
      <c r="M128" s="34">
        <f t="shared" si="19"/>
        <v>34.318636344773068</v>
      </c>
      <c r="N128" s="37">
        <f t="shared" si="20"/>
        <v>11.091781978774913</v>
      </c>
      <c r="O128" s="37">
        <f t="shared" si="21"/>
        <v>6.2624048026828065</v>
      </c>
      <c r="P128" s="34">
        <f t="shared" si="22"/>
        <v>3.4517427665835894</v>
      </c>
      <c r="Q128" s="37">
        <f t="shared" si="23"/>
        <v>1.3448707241045306</v>
      </c>
      <c r="R128" s="37"/>
      <c r="S128" s="33">
        <f t="shared" si="13"/>
        <v>61.982411849793479</v>
      </c>
    </row>
    <row r="129" spans="4:19" ht="13.2" x14ac:dyDescent="0.25">
      <c r="D129" s="32">
        <v>88</v>
      </c>
      <c r="E129" s="27">
        <f t="shared" si="10"/>
        <v>3.96</v>
      </c>
      <c r="F129" s="28">
        <f t="shared" si="11"/>
        <v>0.43668931941458888</v>
      </c>
      <c r="G129" s="29">
        <f t="shared" si="12"/>
        <v>0</v>
      </c>
      <c r="H129" s="34">
        <f t="shared" si="14"/>
        <v>0</v>
      </c>
      <c r="I129" s="34">
        <f t="shared" si="15"/>
        <v>0</v>
      </c>
      <c r="J129" s="37">
        <f t="shared" si="16"/>
        <v>0</v>
      </c>
      <c r="K129" s="34">
        <f t="shared" si="17"/>
        <v>0.42709082136156384</v>
      </c>
      <c r="L129" s="37">
        <f t="shared" si="18"/>
        <v>4.9811881573554668</v>
      </c>
      <c r="M129" s="34">
        <f t="shared" si="19"/>
        <v>33.759628064463371</v>
      </c>
      <c r="N129" s="37">
        <f t="shared" si="20"/>
        <v>11.449581397445071</v>
      </c>
      <c r="O129" s="37">
        <f t="shared" si="21"/>
        <v>6.5346832723646688</v>
      </c>
      <c r="P129" s="34">
        <f t="shared" si="22"/>
        <v>3.6818589510224955</v>
      </c>
      <c r="Q129" s="37">
        <f t="shared" si="23"/>
        <v>1.5369951132623205</v>
      </c>
      <c r="R129" s="37">
        <f t="shared" ref="R129:R229" si="24">F41*$S$17</f>
        <v>0</v>
      </c>
      <c r="S129" s="33">
        <f t="shared" si="13"/>
        <v>62.371025777274959</v>
      </c>
    </row>
    <row r="130" spans="4:19" ht="13.2" x14ac:dyDescent="0.25">
      <c r="D130" s="32">
        <v>89</v>
      </c>
      <c r="E130" s="27">
        <f t="shared" si="10"/>
        <v>4.0049999999999999</v>
      </c>
      <c r="F130" s="28">
        <f t="shared" si="11"/>
        <v>0.40144970358061638</v>
      </c>
      <c r="G130" s="29">
        <f t="shared" si="12"/>
        <v>0</v>
      </c>
      <c r="H130" s="34">
        <f t="shared" si="14"/>
        <v>0</v>
      </c>
      <c r="I130" s="34">
        <f t="shared" si="15"/>
        <v>0</v>
      </c>
      <c r="J130" s="37">
        <f t="shared" si="16"/>
        <v>0</v>
      </c>
      <c r="K130" s="34">
        <f t="shared" si="17"/>
        <v>0.4174699252234858</v>
      </c>
      <c r="L130" s="37">
        <f t="shared" si="18"/>
        <v>4.8861127993360078</v>
      </c>
      <c r="M130" s="34">
        <f t="shared" si="19"/>
        <v>33.200619784153673</v>
      </c>
      <c r="N130" s="37">
        <f t="shared" si="20"/>
        <v>11.807380816115227</v>
      </c>
      <c r="O130" s="37">
        <f t="shared" si="21"/>
        <v>6.8069617420465294</v>
      </c>
      <c r="P130" s="34">
        <f t="shared" si="22"/>
        <v>3.9119751354614016</v>
      </c>
      <c r="Q130" s="37">
        <f t="shared" si="23"/>
        <v>1.7291195024201107</v>
      </c>
      <c r="R130" s="37">
        <f t="shared" si="24"/>
        <v>0.15222746424157868</v>
      </c>
      <c r="S130" s="33">
        <f t="shared" si="13"/>
        <v>62.911867168998015</v>
      </c>
    </row>
    <row r="131" spans="4:19" ht="13.2" x14ac:dyDescent="0.25">
      <c r="D131" s="32">
        <v>90</v>
      </c>
      <c r="E131" s="27">
        <f t="shared" si="10"/>
        <v>4.05</v>
      </c>
      <c r="F131" s="28">
        <f t="shared" si="11"/>
        <v>0.36621008774664388</v>
      </c>
      <c r="G131" s="29">
        <f t="shared" si="12"/>
        <v>0</v>
      </c>
      <c r="H131" s="34">
        <f t="shared" si="14"/>
        <v>0</v>
      </c>
      <c r="I131" s="34">
        <f t="shared" si="15"/>
        <v>0</v>
      </c>
      <c r="J131" s="37">
        <f t="shared" si="16"/>
        <v>0</v>
      </c>
      <c r="K131" s="34">
        <f t="shared" si="17"/>
        <v>0.4078490290854076</v>
      </c>
      <c r="L131" s="37">
        <f t="shared" si="18"/>
        <v>4.7910374413165497</v>
      </c>
      <c r="M131" s="34">
        <f t="shared" si="19"/>
        <v>32.641611503843968</v>
      </c>
      <c r="N131" s="37">
        <f t="shared" si="20"/>
        <v>12.165180234785387</v>
      </c>
      <c r="O131" s="37">
        <f t="shared" si="21"/>
        <v>7.0792402117283908</v>
      </c>
      <c r="P131" s="34">
        <f t="shared" si="22"/>
        <v>4.1420913199003078</v>
      </c>
      <c r="Q131" s="37">
        <f t="shared" si="23"/>
        <v>1.9212438915779007</v>
      </c>
      <c r="R131" s="37">
        <f t="shared" si="24"/>
        <v>0.30445492848315736</v>
      </c>
      <c r="S131" s="33">
        <f t="shared" si="13"/>
        <v>63.452708560721078</v>
      </c>
    </row>
    <row r="132" spans="4:19" ht="13.2" x14ac:dyDescent="0.25">
      <c r="D132" s="32">
        <v>91</v>
      </c>
      <c r="E132" s="27">
        <f t="shared" si="10"/>
        <v>4.0949999999999998</v>
      </c>
      <c r="F132" s="28">
        <f t="shared" si="11"/>
        <v>0.33097047191267137</v>
      </c>
      <c r="G132" s="29">
        <f t="shared" si="12"/>
        <v>0</v>
      </c>
      <c r="H132" s="34">
        <f t="shared" si="14"/>
        <v>0</v>
      </c>
      <c r="I132" s="34">
        <f t="shared" si="15"/>
        <v>0</v>
      </c>
      <c r="J132" s="37">
        <f t="shared" si="16"/>
        <v>0</v>
      </c>
      <c r="K132" s="34">
        <f t="shared" si="17"/>
        <v>0.39822813294732951</v>
      </c>
      <c r="L132" s="37">
        <f t="shared" si="18"/>
        <v>4.6959620832970916</v>
      </c>
      <c r="M132" s="34">
        <f t="shared" si="19"/>
        <v>32.082603223534271</v>
      </c>
      <c r="N132" s="37">
        <f t="shared" si="20"/>
        <v>12.522979653455545</v>
      </c>
      <c r="O132" s="37">
        <f t="shared" si="21"/>
        <v>7.3515186814102513</v>
      </c>
      <c r="P132" s="34">
        <f t="shared" si="22"/>
        <v>4.3722075043392135</v>
      </c>
      <c r="Q132" s="37">
        <f t="shared" si="23"/>
        <v>2.1133682807356906</v>
      </c>
      <c r="R132" s="37">
        <f t="shared" si="24"/>
        <v>0.4566823927247361</v>
      </c>
      <c r="S132" s="33">
        <f t="shared" si="13"/>
        <v>63.993549952444127</v>
      </c>
    </row>
    <row r="133" spans="4:19" ht="13.2" x14ac:dyDescent="0.25">
      <c r="D133" s="38">
        <v>92</v>
      </c>
      <c r="E133" s="27">
        <f t="shared" si="10"/>
        <v>4.1399999999999997</v>
      </c>
      <c r="F133" s="28">
        <f t="shared" si="11"/>
        <v>0.29573085607869887</v>
      </c>
      <c r="G133" s="29">
        <f t="shared" si="12"/>
        <v>0</v>
      </c>
      <c r="H133" s="34">
        <f t="shared" si="14"/>
        <v>0</v>
      </c>
      <c r="I133" s="34">
        <f t="shared" si="15"/>
        <v>0</v>
      </c>
      <c r="J133" s="37">
        <f t="shared" si="16"/>
        <v>0</v>
      </c>
      <c r="K133" s="34">
        <f t="shared" si="17"/>
        <v>0.38860723680925141</v>
      </c>
      <c r="L133" s="37">
        <f t="shared" si="18"/>
        <v>4.6008867252776335</v>
      </c>
      <c r="M133" s="34">
        <f t="shared" si="19"/>
        <v>31.523594943224573</v>
      </c>
      <c r="N133" s="37">
        <f t="shared" si="20"/>
        <v>12.880779072125705</v>
      </c>
      <c r="O133" s="37">
        <f t="shared" si="21"/>
        <v>7.6237971510921136</v>
      </c>
      <c r="P133" s="34">
        <f t="shared" si="22"/>
        <v>4.6023236887781191</v>
      </c>
      <c r="Q133" s="37">
        <f t="shared" si="23"/>
        <v>2.3054926698934808</v>
      </c>
      <c r="R133" s="37">
        <f t="shared" si="24"/>
        <v>0.60890985696631472</v>
      </c>
      <c r="S133" s="33">
        <f t="shared" si="13"/>
        <v>64.53439134416719</v>
      </c>
    </row>
    <row r="134" spans="4:19" ht="13.2" x14ac:dyDescent="0.25">
      <c r="D134" s="32">
        <v>93</v>
      </c>
      <c r="E134" s="27">
        <f t="shared" si="10"/>
        <v>4.1849999999999996</v>
      </c>
      <c r="F134" s="28">
        <f t="shared" si="11"/>
        <v>0.26049124024472636</v>
      </c>
      <c r="G134" s="29">
        <f t="shared" si="12"/>
        <v>0</v>
      </c>
      <c r="H134" s="34">
        <f t="shared" si="14"/>
        <v>0</v>
      </c>
      <c r="I134" s="34">
        <f t="shared" si="15"/>
        <v>0</v>
      </c>
      <c r="J134" s="37">
        <f t="shared" si="16"/>
        <v>0</v>
      </c>
      <c r="K134" s="34">
        <f t="shared" si="17"/>
        <v>0.37898634067117321</v>
      </c>
      <c r="L134" s="37">
        <f t="shared" si="18"/>
        <v>4.5058113672581754</v>
      </c>
      <c r="M134" s="34">
        <f t="shared" si="19"/>
        <v>30.964586662914872</v>
      </c>
      <c r="N134" s="37">
        <f t="shared" si="20"/>
        <v>13.238578490795861</v>
      </c>
      <c r="O134" s="37">
        <f t="shared" si="21"/>
        <v>7.8960756207739742</v>
      </c>
      <c r="P134" s="34">
        <f t="shared" si="22"/>
        <v>4.8324398732170257</v>
      </c>
      <c r="Q134" s="37">
        <f t="shared" si="23"/>
        <v>2.497617059051271</v>
      </c>
      <c r="R134" s="37">
        <f t="shared" si="24"/>
        <v>0.76113732120789346</v>
      </c>
      <c r="S134" s="33">
        <f t="shared" si="13"/>
        <v>65.075232735890239</v>
      </c>
    </row>
    <row r="135" spans="4:19" ht="13.2" x14ac:dyDescent="0.25">
      <c r="D135" s="38">
        <v>94</v>
      </c>
      <c r="E135" s="27">
        <f t="shared" si="10"/>
        <v>4.2299999999999995</v>
      </c>
      <c r="F135" s="28">
        <f t="shared" si="11"/>
        <v>0.22525162441075341</v>
      </c>
      <c r="G135" s="29">
        <f t="shared" si="12"/>
        <v>0</v>
      </c>
      <c r="H135" s="34">
        <f t="shared" si="14"/>
        <v>0</v>
      </c>
      <c r="I135" s="34">
        <f t="shared" si="15"/>
        <v>0</v>
      </c>
      <c r="J135" s="37">
        <f t="shared" si="16"/>
        <v>0</v>
      </c>
      <c r="K135" s="34">
        <f t="shared" si="17"/>
        <v>0.36936544453309511</v>
      </c>
      <c r="L135" s="37">
        <f t="shared" si="18"/>
        <v>4.4107360092387173</v>
      </c>
      <c r="M135" s="34">
        <f t="shared" si="19"/>
        <v>30.405578382605174</v>
      </c>
      <c r="N135" s="37">
        <f t="shared" si="20"/>
        <v>13.367557682436246</v>
      </c>
      <c r="O135" s="37">
        <f t="shared" si="21"/>
        <v>8.1683540904558338</v>
      </c>
      <c r="P135" s="34">
        <f t="shared" si="22"/>
        <v>5.0625560576559314</v>
      </c>
      <c r="Q135" s="37">
        <f t="shared" si="23"/>
        <v>2.6897414482090611</v>
      </c>
      <c r="R135" s="37">
        <f t="shared" si="24"/>
        <v>0.91336478544947219</v>
      </c>
      <c r="S135" s="33">
        <f t="shared" si="13"/>
        <v>65.387253900583531</v>
      </c>
    </row>
    <row r="136" spans="4:19" ht="13.2" x14ac:dyDescent="0.25">
      <c r="D136" s="32">
        <v>95</v>
      </c>
      <c r="E136" s="27">
        <f t="shared" si="10"/>
        <v>4.2749999999999995</v>
      </c>
      <c r="F136" s="28">
        <f t="shared" si="11"/>
        <v>0.19001200857678091</v>
      </c>
      <c r="G136" s="29">
        <f t="shared" si="12"/>
        <v>0</v>
      </c>
      <c r="H136" s="34">
        <f t="shared" si="14"/>
        <v>0</v>
      </c>
      <c r="I136" s="34">
        <f t="shared" si="15"/>
        <v>0</v>
      </c>
      <c r="J136" s="37">
        <f t="shared" si="16"/>
        <v>0</v>
      </c>
      <c r="K136" s="34">
        <f t="shared" si="17"/>
        <v>0.35974454839501702</v>
      </c>
      <c r="L136" s="37">
        <f t="shared" si="18"/>
        <v>4.3156606512192583</v>
      </c>
      <c r="M136" s="34">
        <f t="shared" si="19"/>
        <v>29.846570102295473</v>
      </c>
      <c r="N136" s="37">
        <f t="shared" si="20"/>
        <v>13.153306533531959</v>
      </c>
      <c r="O136" s="37">
        <f t="shared" si="21"/>
        <v>8.440632560137697</v>
      </c>
      <c r="P136" s="34">
        <f t="shared" si="22"/>
        <v>5.2926722420948371</v>
      </c>
      <c r="Q136" s="37">
        <f t="shared" si="23"/>
        <v>2.8818658373668509</v>
      </c>
      <c r="R136" s="37">
        <f t="shared" si="24"/>
        <v>1.0655922496910508</v>
      </c>
      <c r="S136" s="33">
        <f t="shared" si="13"/>
        <v>65.356044724732143</v>
      </c>
    </row>
    <row r="137" spans="4:19" ht="13.2" x14ac:dyDescent="0.25">
      <c r="D137" s="38">
        <v>96</v>
      </c>
      <c r="E137" s="27">
        <f t="shared" si="10"/>
        <v>4.32</v>
      </c>
      <c r="F137" s="28">
        <f t="shared" si="11"/>
        <v>0.15477239274280796</v>
      </c>
      <c r="G137" s="29">
        <f t="shared" si="12"/>
        <v>0</v>
      </c>
      <c r="H137" s="34">
        <f t="shared" si="14"/>
        <v>0</v>
      </c>
      <c r="I137" s="34">
        <f t="shared" si="15"/>
        <v>0</v>
      </c>
      <c r="J137" s="37">
        <f t="shared" si="16"/>
        <v>0</v>
      </c>
      <c r="K137" s="34">
        <f t="shared" si="17"/>
        <v>0.35012365225693892</v>
      </c>
      <c r="L137" s="37">
        <f t="shared" si="18"/>
        <v>4.2205852931997994</v>
      </c>
      <c r="M137" s="34">
        <f t="shared" si="19"/>
        <v>29.287561821985772</v>
      </c>
      <c r="N137" s="37">
        <f t="shared" si="20"/>
        <v>12.939055384627673</v>
      </c>
      <c r="O137" s="37">
        <f t="shared" si="21"/>
        <v>8.7129110298195585</v>
      </c>
      <c r="P137" s="34">
        <f t="shared" si="22"/>
        <v>5.5227884265337437</v>
      </c>
      <c r="Q137" s="37">
        <f t="shared" si="23"/>
        <v>3.073990226524641</v>
      </c>
      <c r="R137" s="37">
        <f t="shared" si="24"/>
        <v>1.2178197139326294</v>
      </c>
      <c r="S137" s="33">
        <f t="shared" si="13"/>
        <v>65.324835548880756</v>
      </c>
    </row>
    <row r="138" spans="4:19" ht="13.2" x14ac:dyDescent="0.25">
      <c r="D138" s="32">
        <v>97</v>
      </c>
      <c r="E138" s="27">
        <f t="shared" si="10"/>
        <v>4.3650000000000002</v>
      </c>
      <c r="F138" s="28">
        <f t="shared" si="11"/>
        <v>0.11953277690883546</v>
      </c>
      <c r="G138" s="29">
        <f t="shared" si="12"/>
        <v>0</v>
      </c>
      <c r="H138" s="34">
        <f t="shared" si="14"/>
        <v>0</v>
      </c>
      <c r="I138" s="34">
        <f t="shared" si="15"/>
        <v>0</v>
      </c>
      <c r="J138" s="37">
        <f t="shared" si="16"/>
        <v>0</v>
      </c>
      <c r="K138" s="34">
        <f t="shared" si="17"/>
        <v>0.34050275611886083</v>
      </c>
      <c r="L138" s="37">
        <f t="shared" si="18"/>
        <v>4.1255099351803421</v>
      </c>
      <c r="M138" s="34">
        <f t="shared" si="19"/>
        <v>28.728553541676071</v>
      </c>
      <c r="N138" s="37">
        <f t="shared" si="20"/>
        <v>12.724804235723388</v>
      </c>
      <c r="O138" s="37">
        <f t="shared" si="21"/>
        <v>8.9851894995014181</v>
      </c>
      <c r="P138" s="34">
        <f t="shared" si="22"/>
        <v>5.7529046109726494</v>
      </c>
      <c r="Q138" s="37">
        <f t="shared" si="23"/>
        <v>3.2661146156824312</v>
      </c>
      <c r="R138" s="37">
        <f t="shared" si="24"/>
        <v>1.3700471781742083</v>
      </c>
      <c r="S138" s="33">
        <f t="shared" si="13"/>
        <v>65.293626373029369</v>
      </c>
    </row>
    <row r="139" spans="4:19" ht="13.2" x14ac:dyDescent="0.25">
      <c r="D139" s="38">
        <v>98</v>
      </c>
      <c r="E139" s="27">
        <f t="shared" si="10"/>
        <v>4.41</v>
      </c>
      <c r="F139" s="28">
        <f t="shared" si="11"/>
        <v>8.429316107486251E-2</v>
      </c>
      <c r="G139" s="29">
        <f t="shared" si="12"/>
        <v>0</v>
      </c>
      <c r="H139" s="34">
        <f t="shared" si="14"/>
        <v>0</v>
      </c>
      <c r="I139" s="34">
        <f t="shared" si="15"/>
        <v>0</v>
      </c>
      <c r="J139" s="37">
        <f t="shared" si="16"/>
        <v>0</v>
      </c>
      <c r="K139" s="34">
        <f t="shared" si="17"/>
        <v>0.33088185998078279</v>
      </c>
      <c r="L139" s="37">
        <f t="shared" si="18"/>
        <v>4.0304345771608823</v>
      </c>
      <c r="M139" s="34">
        <f t="shared" si="19"/>
        <v>28.169545261366373</v>
      </c>
      <c r="N139" s="37">
        <f t="shared" si="20"/>
        <v>12.510553086819099</v>
      </c>
      <c r="O139" s="37">
        <f t="shared" si="21"/>
        <v>9.2574679691832795</v>
      </c>
      <c r="P139" s="34">
        <f t="shared" si="22"/>
        <v>5.9830207954115551</v>
      </c>
      <c r="Q139" s="37">
        <f t="shared" si="23"/>
        <v>3.4582390048402214</v>
      </c>
      <c r="R139" s="37">
        <f t="shared" si="24"/>
        <v>1.5222746424157869</v>
      </c>
      <c r="S139" s="33">
        <f t="shared" si="13"/>
        <v>65.262417197177982</v>
      </c>
    </row>
    <row r="140" spans="4:19" ht="13.2" x14ac:dyDescent="0.25">
      <c r="D140" s="32">
        <v>99</v>
      </c>
      <c r="E140" s="27">
        <f t="shared" si="10"/>
        <v>4.4550000000000001</v>
      </c>
      <c r="F140" s="28">
        <f t="shared" si="11"/>
        <v>4.9053545240890006E-2</v>
      </c>
      <c r="G140" s="29">
        <f t="shared" si="12"/>
        <v>0</v>
      </c>
      <c r="H140" s="34">
        <f t="shared" si="14"/>
        <v>0</v>
      </c>
      <c r="I140" s="34">
        <f t="shared" si="15"/>
        <v>0</v>
      </c>
      <c r="J140" s="37">
        <f t="shared" si="16"/>
        <v>0</v>
      </c>
      <c r="K140" s="34">
        <f t="shared" si="17"/>
        <v>0.32126096384270469</v>
      </c>
      <c r="L140" s="37">
        <f t="shared" si="18"/>
        <v>3.9353592191414246</v>
      </c>
      <c r="M140" s="34">
        <f t="shared" si="19"/>
        <v>27.610536981056676</v>
      </c>
      <c r="N140" s="37">
        <f t="shared" si="20"/>
        <v>12.296301937914812</v>
      </c>
      <c r="O140" s="37">
        <f t="shared" si="21"/>
        <v>9.5297464388651409</v>
      </c>
      <c r="P140" s="34">
        <f t="shared" si="22"/>
        <v>6.2131369798504608</v>
      </c>
      <c r="Q140" s="37">
        <f t="shared" si="23"/>
        <v>3.6503633939980111</v>
      </c>
      <c r="R140" s="37">
        <f t="shared" si="24"/>
        <v>1.6745021066573655</v>
      </c>
      <c r="S140" s="33">
        <f t="shared" si="13"/>
        <v>65.231208021326594</v>
      </c>
    </row>
    <row r="141" spans="4:19" ht="13.2" x14ac:dyDescent="0.25">
      <c r="D141" s="15">
        <v>100</v>
      </c>
      <c r="E141" s="39">
        <f t="shared" si="10"/>
        <v>4.5</v>
      </c>
      <c r="F141" s="36">
        <f t="shared" si="11"/>
        <v>1.3813929406917502E-2</v>
      </c>
      <c r="G141" s="29">
        <f t="shared" si="12"/>
        <v>0</v>
      </c>
      <c r="H141" s="34">
        <f t="shared" si="14"/>
        <v>0</v>
      </c>
      <c r="I141" s="34">
        <f t="shared" si="15"/>
        <v>0</v>
      </c>
      <c r="J141" s="37">
        <f t="shared" si="16"/>
        <v>0</v>
      </c>
      <c r="K141" s="34">
        <f t="shared" si="17"/>
        <v>0.31164006770462649</v>
      </c>
      <c r="L141" s="37">
        <f t="shared" si="18"/>
        <v>3.8402838611219661</v>
      </c>
      <c r="M141" s="34">
        <f t="shared" si="19"/>
        <v>27.051528700746978</v>
      </c>
      <c r="N141" s="37">
        <f t="shared" si="20"/>
        <v>12.082050789010525</v>
      </c>
      <c r="O141" s="37">
        <f t="shared" si="21"/>
        <v>9.8020249085470024</v>
      </c>
      <c r="P141" s="34">
        <f t="shared" si="22"/>
        <v>6.4432531642893682</v>
      </c>
      <c r="Q141" s="37">
        <f t="shared" si="23"/>
        <v>3.8424877831558013</v>
      </c>
      <c r="R141" s="37">
        <f t="shared" si="24"/>
        <v>1.8267295708989444</v>
      </c>
      <c r="S141" s="33">
        <f t="shared" si="13"/>
        <v>65.199998845475207</v>
      </c>
    </row>
    <row r="142" spans="4:19" ht="13.2" x14ac:dyDescent="0.25">
      <c r="G142" s="30"/>
      <c r="H142" s="34">
        <f t="shared" si="14"/>
        <v>0</v>
      </c>
      <c r="I142" s="34">
        <f t="shared" si="15"/>
        <v>0</v>
      </c>
      <c r="J142" s="37">
        <f t="shared" si="16"/>
        <v>0</v>
      </c>
      <c r="K142" s="34">
        <f t="shared" si="17"/>
        <v>0.30201917156654839</v>
      </c>
      <c r="L142" s="37">
        <f t="shared" si="18"/>
        <v>3.7452085031025071</v>
      </c>
      <c r="M142" s="34">
        <f t="shared" si="19"/>
        <v>26.49252042043728</v>
      </c>
      <c r="N142" s="37">
        <f t="shared" si="20"/>
        <v>11.86779964010624</v>
      </c>
      <c r="O142" s="37">
        <f t="shared" si="21"/>
        <v>10.074303378228864</v>
      </c>
      <c r="P142" s="34">
        <f t="shared" si="22"/>
        <v>6.673369348728273</v>
      </c>
      <c r="Q142" s="37">
        <f t="shared" si="23"/>
        <v>4.0346121723135919</v>
      </c>
      <c r="R142" s="37">
        <f t="shared" si="24"/>
        <v>1.978957035140523</v>
      </c>
      <c r="S142" s="33">
        <f t="shared" si="13"/>
        <v>65.16878966962382</v>
      </c>
    </row>
    <row r="143" spans="4:19" ht="13.2" x14ac:dyDescent="0.25">
      <c r="G143" s="30"/>
      <c r="H143" s="34">
        <f t="shared" si="14"/>
        <v>0</v>
      </c>
      <c r="I143" s="34">
        <f t="shared" si="15"/>
        <v>0</v>
      </c>
      <c r="J143" s="37">
        <f t="shared" si="16"/>
        <v>0</v>
      </c>
      <c r="K143" s="34">
        <f t="shared" si="17"/>
        <v>0.2923982754284703</v>
      </c>
      <c r="L143" s="37">
        <f t="shared" si="18"/>
        <v>3.650133145083049</v>
      </c>
      <c r="M143" s="34">
        <f t="shared" si="19"/>
        <v>25.933512140127579</v>
      </c>
      <c r="N143" s="37">
        <f t="shared" si="20"/>
        <v>11.653548491201954</v>
      </c>
      <c r="O143" s="37">
        <f t="shared" si="21"/>
        <v>10.172454060114182</v>
      </c>
      <c r="P143" s="34">
        <f t="shared" si="22"/>
        <v>6.9034855331671787</v>
      </c>
      <c r="Q143" s="37">
        <f t="shared" si="23"/>
        <v>4.2267365614713812</v>
      </c>
      <c r="R143" s="37">
        <f t="shared" si="24"/>
        <v>2.1311844993821016</v>
      </c>
      <c r="S143" s="33">
        <f t="shared" si="13"/>
        <v>64.963452705975897</v>
      </c>
    </row>
    <row r="144" spans="4:19" ht="13.2" x14ac:dyDescent="0.25">
      <c r="G144" s="30"/>
      <c r="H144" s="34">
        <f t="shared" si="14"/>
        <v>0</v>
      </c>
      <c r="I144" s="34">
        <f t="shared" si="15"/>
        <v>0</v>
      </c>
      <c r="J144" s="37">
        <f t="shared" si="16"/>
        <v>0</v>
      </c>
      <c r="K144" s="34">
        <f t="shared" si="17"/>
        <v>0.28277737929039209</v>
      </c>
      <c r="L144" s="37">
        <f t="shared" si="18"/>
        <v>3.5550577870635904</v>
      </c>
      <c r="M144" s="34">
        <f t="shared" si="19"/>
        <v>25.374503859817878</v>
      </c>
      <c r="N144" s="37">
        <f t="shared" si="20"/>
        <v>11.439297342297667</v>
      </c>
      <c r="O144" s="37">
        <f t="shared" si="21"/>
        <v>10.009413060304686</v>
      </c>
      <c r="P144" s="34">
        <f t="shared" si="22"/>
        <v>7.1336017176060862</v>
      </c>
      <c r="Q144" s="37">
        <f t="shared" si="23"/>
        <v>4.4188609506291714</v>
      </c>
      <c r="R144" s="37">
        <f t="shared" si="24"/>
        <v>2.28341196362368</v>
      </c>
      <c r="S144" s="33">
        <f t="shared" si="13"/>
        <v>64.496924060633148</v>
      </c>
    </row>
    <row r="145" spans="7:19" ht="13.2" x14ac:dyDescent="0.25">
      <c r="G145" s="30"/>
      <c r="H145" s="34">
        <f t="shared" si="14"/>
        <v>0</v>
      </c>
      <c r="I145" s="34">
        <f t="shared" si="15"/>
        <v>0</v>
      </c>
      <c r="J145" s="37">
        <f t="shared" si="16"/>
        <v>0</v>
      </c>
      <c r="K145" s="34">
        <f t="shared" si="17"/>
        <v>0.273156483152314</v>
      </c>
      <c r="L145" s="37">
        <f t="shared" si="18"/>
        <v>3.4599824290441323</v>
      </c>
      <c r="M145" s="34">
        <f t="shared" si="19"/>
        <v>24.815495579508177</v>
      </c>
      <c r="N145" s="37">
        <f t="shared" si="20"/>
        <v>11.22504619339338</v>
      </c>
      <c r="O145" s="37">
        <f t="shared" si="21"/>
        <v>9.8463720604951881</v>
      </c>
      <c r="P145" s="34">
        <f t="shared" si="22"/>
        <v>7.363717902044991</v>
      </c>
      <c r="Q145" s="37">
        <f t="shared" si="23"/>
        <v>4.6109853397869616</v>
      </c>
      <c r="R145" s="37">
        <f t="shared" si="24"/>
        <v>2.4356394278652589</v>
      </c>
      <c r="S145" s="33">
        <f t="shared" si="13"/>
        <v>64.0303954152904</v>
      </c>
    </row>
    <row r="146" spans="7:19" ht="13.2" x14ac:dyDescent="0.25">
      <c r="G146" s="30"/>
      <c r="H146" s="34">
        <f t="shared" si="14"/>
        <v>0</v>
      </c>
      <c r="I146" s="34">
        <f t="shared" si="15"/>
        <v>0</v>
      </c>
      <c r="J146" s="37">
        <f t="shared" si="16"/>
        <v>0</v>
      </c>
      <c r="K146" s="34">
        <f t="shared" si="17"/>
        <v>0.26353558701423591</v>
      </c>
      <c r="L146" s="37">
        <f t="shared" si="18"/>
        <v>3.3649070710246742</v>
      </c>
      <c r="M146" s="34">
        <f t="shared" si="19"/>
        <v>24.256487299198483</v>
      </c>
      <c r="N146" s="37">
        <f t="shared" si="20"/>
        <v>11.010795044489093</v>
      </c>
      <c r="O146" s="37">
        <f t="shared" si="21"/>
        <v>9.6833310606856902</v>
      </c>
      <c r="P146" s="34">
        <f t="shared" si="22"/>
        <v>7.5938340864838967</v>
      </c>
      <c r="Q146" s="37">
        <f t="shared" si="23"/>
        <v>4.8031097289447517</v>
      </c>
      <c r="R146" s="37">
        <f t="shared" si="24"/>
        <v>2.5878668921068377</v>
      </c>
      <c r="S146" s="33">
        <f t="shared" si="13"/>
        <v>63.563866769947666</v>
      </c>
    </row>
    <row r="147" spans="7:19" ht="13.2" x14ac:dyDescent="0.25">
      <c r="G147" s="30"/>
      <c r="H147" s="34">
        <f t="shared" si="14"/>
        <v>0</v>
      </c>
      <c r="I147" s="34">
        <f t="shared" si="15"/>
        <v>0</v>
      </c>
      <c r="J147" s="37">
        <f t="shared" si="16"/>
        <v>0</v>
      </c>
      <c r="K147" s="34">
        <f t="shared" si="17"/>
        <v>0.2539146908761577</v>
      </c>
      <c r="L147" s="37">
        <f t="shared" si="18"/>
        <v>3.2698317130052161</v>
      </c>
      <c r="M147" s="34">
        <f t="shared" si="19"/>
        <v>23.697479018888778</v>
      </c>
      <c r="N147" s="37">
        <f t="shared" si="20"/>
        <v>10.796543895584806</v>
      </c>
      <c r="O147" s="37">
        <f t="shared" si="21"/>
        <v>9.5202900608761922</v>
      </c>
      <c r="P147" s="34">
        <f t="shared" si="22"/>
        <v>7.8239502709228033</v>
      </c>
      <c r="Q147" s="37">
        <f t="shared" si="23"/>
        <v>4.9952341181025419</v>
      </c>
      <c r="R147" s="37">
        <f t="shared" si="24"/>
        <v>2.7400943563484166</v>
      </c>
      <c r="S147" s="33">
        <f t="shared" si="13"/>
        <v>63.09733812460491</v>
      </c>
    </row>
    <row r="148" spans="7:19" ht="13.2" x14ac:dyDescent="0.25">
      <c r="G148" s="30"/>
      <c r="H148" s="34">
        <f t="shared" si="14"/>
        <v>0</v>
      </c>
      <c r="I148" s="34">
        <f t="shared" si="15"/>
        <v>0</v>
      </c>
      <c r="J148" s="37">
        <f t="shared" si="16"/>
        <v>0</v>
      </c>
      <c r="K148" s="34">
        <f t="shared" si="17"/>
        <v>0.24429379473807961</v>
      </c>
      <c r="L148" s="37">
        <f t="shared" si="18"/>
        <v>3.174756354985758</v>
      </c>
      <c r="M148" s="34">
        <f t="shared" si="19"/>
        <v>23.13847073857908</v>
      </c>
      <c r="N148" s="37">
        <f t="shared" si="20"/>
        <v>10.582292746680521</v>
      </c>
      <c r="O148" s="37">
        <f t="shared" si="21"/>
        <v>9.3572490610666943</v>
      </c>
      <c r="P148" s="34">
        <f t="shared" si="22"/>
        <v>8.0540664553617081</v>
      </c>
      <c r="Q148" s="37">
        <f t="shared" si="23"/>
        <v>5.1873585072603312</v>
      </c>
      <c r="R148" s="37">
        <f t="shared" si="24"/>
        <v>2.892321820589995</v>
      </c>
      <c r="S148" s="33">
        <f t="shared" si="13"/>
        <v>62.630809479262169</v>
      </c>
    </row>
    <row r="149" spans="7:19" ht="13.2" x14ac:dyDescent="0.25">
      <c r="G149" s="30"/>
      <c r="H149" s="34">
        <f t="shared" si="14"/>
        <v>0</v>
      </c>
      <c r="I149" s="34">
        <f t="shared" si="15"/>
        <v>0</v>
      </c>
      <c r="J149" s="37">
        <f t="shared" si="16"/>
        <v>0</v>
      </c>
      <c r="K149" s="34">
        <f t="shared" si="17"/>
        <v>0.23467289860000151</v>
      </c>
      <c r="L149" s="37">
        <f t="shared" si="18"/>
        <v>3.0796809969662986</v>
      </c>
      <c r="M149" s="34">
        <f t="shared" si="19"/>
        <v>22.579462458269383</v>
      </c>
      <c r="N149" s="37">
        <f t="shared" si="20"/>
        <v>10.368041597776235</v>
      </c>
      <c r="O149" s="37">
        <f t="shared" si="21"/>
        <v>9.1942080612571964</v>
      </c>
      <c r="P149" s="34">
        <f t="shared" si="22"/>
        <v>8.2841826398006155</v>
      </c>
      <c r="Q149" s="37">
        <f t="shared" si="23"/>
        <v>5.3794828964181223</v>
      </c>
      <c r="R149" s="37">
        <f t="shared" si="24"/>
        <v>3.0445492848315738</v>
      </c>
      <c r="S149" s="33">
        <f t="shared" si="13"/>
        <v>62.164280833919435</v>
      </c>
    </row>
    <row r="150" spans="7:19" ht="13.2" x14ac:dyDescent="0.25">
      <c r="G150" s="30"/>
      <c r="H150" s="34"/>
      <c r="I150" s="34">
        <f t="shared" si="15"/>
        <v>0</v>
      </c>
      <c r="J150" s="37">
        <f t="shared" si="16"/>
        <v>0</v>
      </c>
      <c r="K150" s="34">
        <f t="shared" si="17"/>
        <v>0.22505200246192344</v>
      </c>
      <c r="L150" s="37">
        <f t="shared" si="18"/>
        <v>2.9846056389468405</v>
      </c>
      <c r="M150" s="34">
        <f t="shared" si="19"/>
        <v>22.020454177959678</v>
      </c>
      <c r="N150" s="37">
        <f t="shared" si="20"/>
        <v>10.153790448871948</v>
      </c>
      <c r="O150" s="37">
        <f t="shared" si="21"/>
        <v>9.0311670614476984</v>
      </c>
      <c r="P150" s="34">
        <f t="shared" si="22"/>
        <v>8.5142988242395212</v>
      </c>
      <c r="Q150" s="37">
        <f t="shared" si="23"/>
        <v>5.5716072855759124</v>
      </c>
      <c r="R150" s="37">
        <f t="shared" si="24"/>
        <v>3.1967767490731527</v>
      </c>
      <c r="S150" s="33">
        <f t="shared" si="13"/>
        <v>61.697752188576679</v>
      </c>
    </row>
    <row r="151" spans="7:19" ht="13.2" x14ac:dyDescent="0.25">
      <c r="G151" s="30"/>
      <c r="H151" s="34"/>
      <c r="I151" s="34">
        <f t="shared" si="15"/>
        <v>0</v>
      </c>
      <c r="J151" s="37">
        <f t="shared" si="16"/>
        <v>0</v>
      </c>
      <c r="K151" s="34">
        <f t="shared" si="17"/>
        <v>0.21543110632384535</v>
      </c>
      <c r="L151" s="37">
        <f t="shared" si="18"/>
        <v>2.8895302809273824</v>
      </c>
      <c r="M151" s="34">
        <f t="shared" si="19"/>
        <v>21.46144589764998</v>
      </c>
      <c r="N151" s="37">
        <f t="shared" si="20"/>
        <v>9.9395392999676613</v>
      </c>
      <c r="O151" s="37">
        <f t="shared" si="21"/>
        <v>8.8681260616382023</v>
      </c>
      <c r="P151" s="34">
        <f t="shared" si="22"/>
        <v>8.5972508859354644</v>
      </c>
      <c r="Q151" s="37">
        <f t="shared" si="23"/>
        <v>5.7637316747337017</v>
      </c>
      <c r="R151" s="37">
        <f t="shared" si="24"/>
        <v>3.3490042133147311</v>
      </c>
      <c r="S151" s="33">
        <f t="shared" si="13"/>
        <v>61.084059420490973</v>
      </c>
    </row>
    <row r="152" spans="7:19" ht="13.2" x14ac:dyDescent="0.25">
      <c r="G152" s="30"/>
      <c r="H152" s="30"/>
      <c r="I152" s="34">
        <f t="shared" si="15"/>
        <v>0</v>
      </c>
      <c r="J152" s="37">
        <f t="shared" si="16"/>
        <v>0</v>
      </c>
      <c r="K152" s="34">
        <f t="shared" si="17"/>
        <v>0.20581021018576726</v>
      </c>
      <c r="L152" s="37">
        <f t="shared" si="18"/>
        <v>2.794454922907923</v>
      </c>
      <c r="M152" s="34">
        <f t="shared" si="19"/>
        <v>20.902437617340283</v>
      </c>
      <c r="N152" s="37">
        <f t="shared" si="20"/>
        <v>9.7252881510633742</v>
      </c>
      <c r="O152" s="37">
        <f t="shared" si="21"/>
        <v>8.7050850618287043</v>
      </c>
      <c r="P152" s="34">
        <f t="shared" si="22"/>
        <v>8.4594567635169575</v>
      </c>
      <c r="Q152" s="37">
        <f t="shared" si="23"/>
        <v>5.9558560638914928</v>
      </c>
      <c r="R152" s="37">
        <f t="shared" si="24"/>
        <v>3.5012316775563099</v>
      </c>
      <c r="S152" s="33">
        <f t="shared" si="13"/>
        <v>60.249620468290814</v>
      </c>
    </row>
    <row r="153" spans="7:19" ht="13.2" x14ac:dyDescent="0.25">
      <c r="G153" s="30"/>
      <c r="H153" s="30"/>
      <c r="I153" s="34">
        <f t="shared" si="15"/>
        <v>0</v>
      </c>
      <c r="J153" s="37">
        <f t="shared" si="16"/>
        <v>0</v>
      </c>
      <c r="K153" s="34">
        <f t="shared" si="17"/>
        <v>0.19618931404768916</v>
      </c>
      <c r="L153" s="37">
        <f t="shared" si="18"/>
        <v>2.6993795648884649</v>
      </c>
      <c r="M153" s="34">
        <f t="shared" si="19"/>
        <v>20.343429337030585</v>
      </c>
      <c r="N153" s="37">
        <f t="shared" si="20"/>
        <v>9.5110370021590871</v>
      </c>
      <c r="O153" s="37">
        <f t="shared" si="21"/>
        <v>8.5420440620192046</v>
      </c>
      <c r="P153" s="34">
        <f t="shared" si="22"/>
        <v>8.3216626410984507</v>
      </c>
      <c r="Q153" s="37">
        <f t="shared" si="23"/>
        <v>6.1479804530492821</v>
      </c>
      <c r="R153" s="37">
        <f t="shared" si="24"/>
        <v>3.6534591417978888</v>
      </c>
      <c r="S153" s="33">
        <f t="shared" si="13"/>
        <v>59.415181516090648</v>
      </c>
    </row>
    <row r="154" spans="7:19" ht="13.2" x14ac:dyDescent="0.25">
      <c r="G154" s="30"/>
      <c r="H154" s="30"/>
      <c r="I154" s="34">
        <f t="shared" si="15"/>
        <v>0</v>
      </c>
      <c r="J154" s="37">
        <f t="shared" si="16"/>
        <v>0</v>
      </c>
      <c r="K154" s="34">
        <f t="shared" si="17"/>
        <v>0.18656841790961096</v>
      </c>
      <c r="L154" s="37">
        <f t="shared" si="18"/>
        <v>2.6043042068690068</v>
      </c>
      <c r="M154" s="34">
        <f t="shared" si="19"/>
        <v>19.784421056720888</v>
      </c>
      <c r="N154" s="37">
        <f t="shared" si="20"/>
        <v>9.2967858532548036</v>
      </c>
      <c r="O154" s="37">
        <f t="shared" si="21"/>
        <v>8.3790030622097067</v>
      </c>
      <c r="P154" s="34">
        <f t="shared" si="22"/>
        <v>8.1838685186799456</v>
      </c>
      <c r="Q154" s="37">
        <f t="shared" si="23"/>
        <v>6.3401048422070723</v>
      </c>
      <c r="R154" s="37">
        <f t="shared" si="24"/>
        <v>3.8056866060394672</v>
      </c>
      <c r="S154" s="33">
        <f t="shared" si="13"/>
        <v>58.580742563890503</v>
      </c>
    </row>
    <row r="155" spans="7:19" ht="13.2" x14ac:dyDescent="0.25">
      <c r="G155" s="30"/>
      <c r="H155" s="30"/>
      <c r="I155" s="34">
        <f t="shared" si="15"/>
        <v>0</v>
      </c>
      <c r="J155" s="37">
        <f t="shared" si="16"/>
        <v>0</v>
      </c>
      <c r="K155" s="34">
        <f t="shared" si="17"/>
        <v>0.17694752177153286</v>
      </c>
      <c r="L155" s="37">
        <f t="shared" si="18"/>
        <v>2.5092288488495473</v>
      </c>
      <c r="M155" s="34">
        <f t="shared" si="19"/>
        <v>19.22541277641119</v>
      </c>
      <c r="N155" s="37">
        <f t="shared" si="20"/>
        <v>9.0825347043505147</v>
      </c>
      <c r="O155" s="37">
        <f t="shared" si="21"/>
        <v>8.2159620624002105</v>
      </c>
      <c r="P155" s="34">
        <f t="shared" si="22"/>
        <v>8.0460743962614369</v>
      </c>
      <c r="Q155" s="37">
        <f t="shared" si="23"/>
        <v>6.5322292313648624</v>
      </c>
      <c r="R155" s="37">
        <f t="shared" si="24"/>
        <v>3.957914070281046</v>
      </c>
      <c r="S155" s="33">
        <f t="shared" si="13"/>
        <v>57.746303611690351</v>
      </c>
    </row>
    <row r="156" spans="7:19" ht="13.2" x14ac:dyDescent="0.25">
      <c r="G156" s="30"/>
      <c r="H156" s="30"/>
      <c r="I156" s="34">
        <f t="shared" si="15"/>
        <v>0</v>
      </c>
      <c r="J156" s="37">
        <f t="shared" si="16"/>
        <v>0</v>
      </c>
      <c r="K156" s="34">
        <f t="shared" si="17"/>
        <v>0.1673266256334548</v>
      </c>
      <c r="L156" s="37">
        <f t="shared" si="18"/>
        <v>2.4141534908300892</v>
      </c>
      <c r="M156" s="34">
        <f t="shared" si="19"/>
        <v>18.666404496101492</v>
      </c>
      <c r="N156" s="37">
        <f t="shared" si="20"/>
        <v>8.8682835554462294</v>
      </c>
      <c r="O156" s="37">
        <f t="shared" si="21"/>
        <v>8.0529210625907126</v>
      </c>
      <c r="P156" s="34">
        <f t="shared" si="22"/>
        <v>7.908280273842931</v>
      </c>
      <c r="Q156" s="37">
        <f t="shared" si="23"/>
        <v>6.7243536205226517</v>
      </c>
      <c r="R156" s="37">
        <f t="shared" si="24"/>
        <v>4.110141534522624</v>
      </c>
      <c r="S156" s="33">
        <f t="shared" si="13"/>
        <v>56.911864659490192</v>
      </c>
    </row>
    <row r="157" spans="7:19" ht="13.2" x14ac:dyDescent="0.25">
      <c r="G157" s="30"/>
      <c r="H157" s="30"/>
      <c r="I157" s="34">
        <f t="shared" si="15"/>
        <v>0</v>
      </c>
      <c r="J157" s="37">
        <f t="shared" si="16"/>
        <v>0</v>
      </c>
      <c r="K157" s="34">
        <f t="shared" si="17"/>
        <v>0.15770572949537659</v>
      </c>
      <c r="L157" s="37">
        <f t="shared" si="18"/>
        <v>2.3190781328106311</v>
      </c>
      <c r="M157" s="34">
        <f t="shared" si="19"/>
        <v>18.107396215791788</v>
      </c>
      <c r="N157" s="37">
        <f t="shared" si="20"/>
        <v>8.6540324065419423</v>
      </c>
      <c r="O157" s="37">
        <f t="shared" si="21"/>
        <v>7.8898800627812156</v>
      </c>
      <c r="P157" s="34">
        <f t="shared" si="22"/>
        <v>7.7704861514244241</v>
      </c>
      <c r="Q157" s="37">
        <f t="shared" si="23"/>
        <v>6.9164780096804428</v>
      </c>
      <c r="R157" s="37">
        <f t="shared" si="24"/>
        <v>4.2623689987642033</v>
      </c>
      <c r="S157" s="33">
        <f t="shared" si="13"/>
        <v>56.077425707290018</v>
      </c>
    </row>
    <row r="158" spans="7:19" ht="13.2" x14ac:dyDescent="0.25">
      <c r="G158" s="30"/>
      <c r="H158" s="30"/>
      <c r="I158" s="34"/>
      <c r="J158" s="37">
        <f t="shared" si="16"/>
        <v>0</v>
      </c>
      <c r="K158" s="34">
        <f t="shared" si="17"/>
        <v>0.1480848333572985</v>
      </c>
      <c r="L158" s="37">
        <f t="shared" si="18"/>
        <v>2.224002774791173</v>
      </c>
      <c r="M158" s="34">
        <f t="shared" si="19"/>
        <v>17.54838793548209</v>
      </c>
      <c r="N158" s="37">
        <f t="shared" si="20"/>
        <v>8.4397812576376534</v>
      </c>
      <c r="O158" s="37">
        <f t="shared" si="21"/>
        <v>7.7268390629717185</v>
      </c>
      <c r="P158" s="34">
        <f t="shared" si="22"/>
        <v>7.6326920290059181</v>
      </c>
      <c r="Q158" s="37">
        <f t="shared" si="23"/>
        <v>7.108602398838233</v>
      </c>
      <c r="R158" s="37">
        <f t="shared" si="24"/>
        <v>4.4145964630057817</v>
      </c>
      <c r="S158" s="33">
        <f t="shared" si="13"/>
        <v>55.242986755089859</v>
      </c>
    </row>
    <row r="159" spans="7:19" ht="13.2" x14ac:dyDescent="0.25">
      <c r="G159" s="30"/>
      <c r="H159" s="30"/>
      <c r="I159" s="34"/>
      <c r="J159" s="37">
        <f t="shared" si="16"/>
        <v>0</v>
      </c>
      <c r="K159" s="34">
        <f t="shared" si="17"/>
        <v>0.1384639372192204</v>
      </c>
      <c r="L159" s="37">
        <f t="shared" si="18"/>
        <v>2.1289274167717149</v>
      </c>
      <c r="M159" s="34">
        <f t="shared" si="19"/>
        <v>16.989379655172392</v>
      </c>
      <c r="N159" s="37">
        <f t="shared" si="20"/>
        <v>8.2255301087333681</v>
      </c>
      <c r="O159" s="37">
        <f t="shared" si="21"/>
        <v>7.5637980631622197</v>
      </c>
      <c r="P159" s="34">
        <f t="shared" si="22"/>
        <v>7.4948979065874113</v>
      </c>
      <c r="Q159" s="37">
        <f t="shared" si="23"/>
        <v>7.1778592145705629</v>
      </c>
      <c r="R159" s="37">
        <f t="shared" si="24"/>
        <v>4.5668239272473601</v>
      </c>
      <c r="S159" s="33">
        <f t="shared" si="13"/>
        <v>54.285680229464248</v>
      </c>
    </row>
    <row r="160" spans="7:19" ht="13.2" x14ac:dyDescent="0.25">
      <c r="G160" s="30"/>
      <c r="H160" s="30"/>
      <c r="I160" s="34"/>
      <c r="J160" s="37">
        <f t="shared" si="16"/>
        <v>0</v>
      </c>
      <c r="K160" s="34">
        <f t="shared" si="17"/>
        <v>0.1288430410811422</v>
      </c>
      <c r="L160" s="37">
        <f t="shared" si="18"/>
        <v>2.0338520587522568</v>
      </c>
      <c r="M160" s="34">
        <f t="shared" si="19"/>
        <v>16.430371374862688</v>
      </c>
      <c r="N160" s="37">
        <f t="shared" si="20"/>
        <v>8.0112789598290828</v>
      </c>
      <c r="O160" s="37">
        <f t="shared" si="21"/>
        <v>7.4007570633527218</v>
      </c>
      <c r="P160" s="34">
        <f t="shared" si="22"/>
        <v>7.3571037841689044</v>
      </c>
      <c r="Q160" s="37">
        <f t="shared" si="23"/>
        <v>7.062814670164701</v>
      </c>
      <c r="R160" s="37">
        <f t="shared" si="24"/>
        <v>4.7190513914889394</v>
      </c>
      <c r="S160" s="33">
        <f t="shared" si="13"/>
        <v>53.144072343700437</v>
      </c>
    </row>
    <row r="161" spans="7:19" ht="13.2" x14ac:dyDescent="0.25">
      <c r="G161" s="30"/>
      <c r="H161" s="30"/>
      <c r="I161" s="34"/>
      <c r="J161" s="37">
        <f t="shared" si="16"/>
        <v>0</v>
      </c>
      <c r="K161" s="34">
        <f t="shared" si="17"/>
        <v>0.1192221449430641</v>
      </c>
      <c r="L161" s="37">
        <f t="shared" si="18"/>
        <v>1.9387767007327985</v>
      </c>
      <c r="M161" s="34">
        <f t="shared" si="19"/>
        <v>15.87136309455299</v>
      </c>
      <c r="N161" s="37">
        <f t="shared" si="20"/>
        <v>7.7970278109247966</v>
      </c>
      <c r="O161" s="37">
        <f t="shared" si="21"/>
        <v>7.2377160635432238</v>
      </c>
      <c r="P161" s="34">
        <f t="shared" si="22"/>
        <v>7.2193096617503976</v>
      </c>
      <c r="Q161" s="37">
        <f t="shared" si="23"/>
        <v>6.9477701257588391</v>
      </c>
      <c r="R161" s="37">
        <f t="shared" si="24"/>
        <v>4.8712788557305178</v>
      </c>
      <c r="S161" s="33">
        <f t="shared" si="13"/>
        <v>52.002464457936618</v>
      </c>
    </row>
    <row r="162" spans="7:19" ht="13.2" x14ac:dyDescent="0.25">
      <c r="G162" s="30"/>
      <c r="H162" s="30"/>
      <c r="I162" s="30"/>
      <c r="J162" s="37">
        <f t="shared" si="16"/>
        <v>0</v>
      </c>
      <c r="K162" s="34">
        <f t="shared" si="17"/>
        <v>0.10960124880498602</v>
      </c>
      <c r="L162" s="37">
        <f t="shared" si="18"/>
        <v>1.8437013427133391</v>
      </c>
      <c r="M162" s="34">
        <f t="shared" si="19"/>
        <v>15.312354814243292</v>
      </c>
      <c r="N162" s="37">
        <f t="shared" si="20"/>
        <v>7.5827766620205113</v>
      </c>
      <c r="O162" s="37">
        <f t="shared" si="21"/>
        <v>7.0746750637337277</v>
      </c>
      <c r="P162" s="34">
        <f t="shared" si="22"/>
        <v>7.0815155393318907</v>
      </c>
      <c r="Q162" s="37">
        <f t="shared" si="23"/>
        <v>6.8327255813529773</v>
      </c>
      <c r="R162" s="37">
        <f t="shared" si="24"/>
        <v>5.0235063199720962</v>
      </c>
      <c r="S162" s="33">
        <f t="shared" si="13"/>
        <v>50.860856572172821</v>
      </c>
    </row>
    <row r="163" spans="7:19" ht="13.2" x14ac:dyDescent="0.25">
      <c r="G163" s="30"/>
      <c r="H163" s="30"/>
      <c r="I163" s="30"/>
      <c r="J163" s="37">
        <f t="shared" si="16"/>
        <v>0</v>
      </c>
      <c r="K163" s="34">
        <f t="shared" si="17"/>
        <v>9.9980352666907926E-2</v>
      </c>
      <c r="L163" s="37">
        <f t="shared" si="18"/>
        <v>1.748625984693881</v>
      </c>
      <c r="M163" s="34">
        <f t="shared" si="19"/>
        <v>14.753346533933588</v>
      </c>
      <c r="N163" s="37">
        <f t="shared" si="20"/>
        <v>7.3685255131162251</v>
      </c>
      <c r="O163" s="37">
        <f t="shared" si="21"/>
        <v>6.911634063924228</v>
      </c>
      <c r="P163" s="34">
        <f t="shared" si="22"/>
        <v>6.9437214169133847</v>
      </c>
      <c r="Q163" s="37">
        <f t="shared" si="23"/>
        <v>6.7176810369471136</v>
      </c>
      <c r="R163" s="37">
        <f t="shared" si="24"/>
        <v>5.1757337842136755</v>
      </c>
      <c r="S163" s="33">
        <f t="shared" si="13"/>
        <v>49.719248686409003</v>
      </c>
    </row>
    <row r="164" spans="7:19" ht="13.2" x14ac:dyDescent="0.25">
      <c r="G164" s="30"/>
      <c r="H164" s="30"/>
      <c r="I164" s="30"/>
      <c r="J164" s="37">
        <f t="shared" si="16"/>
        <v>0</v>
      </c>
      <c r="K164" s="34">
        <f t="shared" si="17"/>
        <v>9.0359456528829846E-2</v>
      </c>
      <c r="L164" s="37">
        <f t="shared" si="18"/>
        <v>1.6535506266744229</v>
      </c>
      <c r="M164" s="34">
        <f t="shared" si="19"/>
        <v>14.19433825362389</v>
      </c>
      <c r="N164" s="37">
        <f t="shared" si="20"/>
        <v>7.1542743642119389</v>
      </c>
      <c r="O164" s="37">
        <f t="shared" si="21"/>
        <v>6.7485930641147309</v>
      </c>
      <c r="P164" s="34">
        <f t="shared" si="22"/>
        <v>6.8059272944948779</v>
      </c>
      <c r="Q164" s="37">
        <f t="shared" si="23"/>
        <v>6.6026364925412517</v>
      </c>
      <c r="R164" s="37">
        <f t="shared" si="24"/>
        <v>5.3279612484552539</v>
      </c>
      <c r="S164" s="33">
        <f t="shared" si="13"/>
        <v>48.577640800645199</v>
      </c>
    </row>
    <row r="165" spans="7:19" ht="13.2" x14ac:dyDescent="0.25">
      <c r="G165" s="30"/>
      <c r="H165" s="30"/>
      <c r="I165" s="30"/>
      <c r="J165" s="37">
        <f t="shared" si="16"/>
        <v>0</v>
      </c>
      <c r="K165" s="34">
        <f t="shared" si="17"/>
        <v>8.0738560390751751E-2</v>
      </c>
      <c r="L165" s="37">
        <f t="shared" si="18"/>
        <v>1.5584752686549634</v>
      </c>
      <c r="M165" s="34">
        <f t="shared" si="19"/>
        <v>13.635329973314192</v>
      </c>
      <c r="N165" s="37">
        <f t="shared" si="20"/>
        <v>6.9400232153076509</v>
      </c>
      <c r="O165" s="37">
        <f t="shared" si="21"/>
        <v>6.5855520643052339</v>
      </c>
      <c r="P165" s="34">
        <f t="shared" si="22"/>
        <v>6.6681331720763719</v>
      </c>
      <c r="Q165" s="37">
        <f t="shared" si="23"/>
        <v>6.487591948135389</v>
      </c>
      <c r="R165" s="37">
        <f t="shared" si="24"/>
        <v>5.4801887126968332</v>
      </c>
      <c r="S165" s="33">
        <f t="shared" si="13"/>
        <v>47.43603291488138</v>
      </c>
    </row>
    <row r="166" spans="7:19" ht="13.2" x14ac:dyDescent="0.25">
      <c r="G166" s="30"/>
      <c r="H166" s="30"/>
      <c r="I166" s="30"/>
      <c r="J166" s="30"/>
      <c r="K166" s="34">
        <f t="shared" si="17"/>
        <v>7.1117664252673671E-2</v>
      </c>
      <c r="L166" s="37">
        <f t="shared" si="18"/>
        <v>1.4633999106355053</v>
      </c>
      <c r="M166" s="34">
        <f t="shared" si="19"/>
        <v>13.076321693004495</v>
      </c>
      <c r="N166" s="37">
        <f t="shared" si="20"/>
        <v>6.7257720664033647</v>
      </c>
      <c r="O166" s="37">
        <f t="shared" si="21"/>
        <v>6.4225110644957342</v>
      </c>
      <c r="P166" s="34">
        <f t="shared" si="22"/>
        <v>6.5303390496578659</v>
      </c>
      <c r="Q166" s="37">
        <f t="shared" si="23"/>
        <v>6.3725474037295271</v>
      </c>
      <c r="R166" s="37">
        <f t="shared" si="24"/>
        <v>5.6324161769384116</v>
      </c>
      <c r="S166" s="33">
        <f t="shared" si="13"/>
        <v>46.294425029117576</v>
      </c>
    </row>
    <row r="167" spans="7:19" ht="13.2" x14ac:dyDescent="0.25">
      <c r="G167" s="30"/>
      <c r="H167" s="30"/>
      <c r="I167" s="30"/>
      <c r="J167" s="30"/>
      <c r="K167" s="34">
        <f t="shared" si="17"/>
        <v>6.1496768114595458E-2</v>
      </c>
      <c r="L167" s="37">
        <f t="shared" si="18"/>
        <v>1.3683245526160472</v>
      </c>
      <c r="M167" s="34">
        <f t="shared" si="19"/>
        <v>12.517313412694797</v>
      </c>
      <c r="N167" s="37">
        <f t="shared" si="20"/>
        <v>6.5115209174990785</v>
      </c>
      <c r="O167" s="37">
        <f t="shared" si="21"/>
        <v>6.2594700646862371</v>
      </c>
      <c r="P167" s="34">
        <f t="shared" si="22"/>
        <v>6.3925449272393591</v>
      </c>
      <c r="Q167" s="37">
        <f t="shared" si="23"/>
        <v>6.2575028593236652</v>
      </c>
      <c r="R167" s="37">
        <f t="shared" si="24"/>
        <v>5.6872909874015445</v>
      </c>
      <c r="S167" s="33">
        <f t="shared" si="13"/>
        <v>45.055464489575328</v>
      </c>
    </row>
    <row r="168" spans="7:19" ht="13.2" x14ac:dyDescent="0.25">
      <c r="G168" s="30"/>
      <c r="H168" s="30"/>
      <c r="I168" s="30"/>
      <c r="J168" s="30"/>
      <c r="K168" s="34">
        <f t="shared" si="17"/>
        <v>5.1875871976517371E-2</v>
      </c>
      <c r="L168" s="37">
        <f t="shared" si="18"/>
        <v>1.2732491945965878</v>
      </c>
      <c r="M168" s="34">
        <f t="shared" si="19"/>
        <v>11.9583051323851</v>
      </c>
      <c r="N168" s="37">
        <f t="shared" si="20"/>
        <v>6.2972697685947905</v>
      </c>
      <c r="O168" s="37">
        <f t="shared" si="21"/>
        <v>6.0964290648767401</v>
      </c>
      <c r="P168" s="34">
        <f t="shared" si="22"/>
        <v>6.2547508048208522</v>
      </c>
      <c r="Q168" s="37">
        <f t="shared" si="23"/>
        <v>6.1424583149178025</v>
      </c>
      <c r="R168" s="37">
        <f t="shared" si="24"/>
        <v>5.5961368171970065</v>
      </c>
      <c r="S168" s="33">
        <f t="shared" si="13"/>
        <v>43.670474969365394</v>
      </c>
    </row>
    <row r="169" spans="7:19" ht="13.2" x14ac:dyDescent="0.25">
      <c r="G169" s="30"/>
      <c r="H169" s="30"/>
      <c r="I169" s="30"/>
      <c r="J169" s="30"/>
      <c r="K169" s="34">
        <f t="shared" si="17"/>
        <v>4.2254975838439159E-2</v>
      </c>
      <c r="L169" s="37">
        <f t="shared" si="18"/>
        <v>1.1781738365771297</v>
      </c>
      <c r="M169" s="34">
        <f t="shared" si="19"/>
        <v>11.399296852075402</v>
      </c>
      <c r="N169" s="37">
        <f t="shared" si="20"/>
        <v>6.0830186196905043</v>
      </c>
      <c r="O169" s="37">
        <f t="shared" si="21"/>
        <v>5.933388065067243</v>
      </c>
      <c r="P169" s="34">
        <f t="shared" si="22"/>
        <v>6.1169566824023445</v>
      </c>
      <c r="Q169" s="37">
        <f t="shared" si="23"/>
        <v>6.0274137705119397</v>
      </c>
      <c r="R169" s="37">
        <f t="shared" si="24"/>
        <v>5.5049826469924685</v>
      </c>
      <c r="S169" s="33">
        <f t="shared" si="13"/>
        <v>42.285485449155473</v>
      </c>
    </row>
    <row r="170" spans="7:19" ht="13.2" x14ac:dyDescent="0.25">
      <c r="G170" s="30"/>
      <c r="H170" s="30"/>
      <c r="I170" s="30"/>
      <c r="J170" s="30"/>
      <c r="K170" s="34">
        <f t="shared" si="17"/>
        <v>3.2634079700361071E-2</v>
      </c>
      <c r="L170" s="37">
        <f t="shared" si="18"/>
        <v>1.0830984785576716</v>
      </c>
      <c r="M170" s="34">
        <f t="shared" si="19"/>
        <v>10.840288571765697</v>
      </c>
      <c r="N170" s="37">
        <f t="shared" si="20"/>
        <v>5.868767470786219</v>
      </c>
      <c r="O170" s="37">
        <f t="shared" si="21"/>
        <v>5.7703470652577451</v>
      </c>
      <c r="P170" s="34">
        <f t="shared" si="22"/>
        <v>5.9791625599838394</v>
      </c>
      <c r="Q170" s="37">
        <f t="shared" si="23"/>
        <v>5.912369226106077</v>
      </c>
      <c r="R170" s="37">
        <f t="shared" si="24"/>
        <v>5.4138284767879306</v>
      </c>
      <c r="S170" s="33">
        <f t="shared" si="13"/>
        <v>40.900495928945546</v>
      </c>
    </row>
    <row r="171" spans="7:19" ht="13.2" x14ac:dyDescent="0.25">
      <c r="G171" s="30"/>
      <c r="H171" s="30"/>
      <c r="I171" s="30"/>
      <c r="J171" s="30"/>
      <c r="K171" s="34">
        <f t="shared" si="17"/>
        <v>2.3013183562282862E-2</v>
      </c>
      <c r="L171" s="37">
        <f t="shared" si="18"/>
        <v>0.9880231205382134</v>
      </c>
      <c r="M171" s="34">
        <f t="shared" si="19"/>
        <v>10.281280291456</v>
      </c>
      <c r="N171" s="37">
        <f t="shared" si="20"/>
        <v>5.6545163218819301</v>
      </c>
      <c r="O171" s="37">
        <f t="shared" si="21"/>
        <v>5.6073060654482481</v>
      </c>
      <c r="P171" s="34">
        <f t="shared" si="22"/>
        <v>5.8413684375653316</v>
      </c>
      <c r="Q171" s="37">
        <f t="shared" si="23"/>
        <v>5.7973246817002151</v>
      </c>
      <c r="R171" s="37">
        <f t="shared" si="24"/>
        <v>5.3226743065833917</v>
      </c>
      <c r="S171" s="33">
        <f t="shared" si="13"/>
        <v>39.515506408735618</v>
      </c>
    </row>
    <row r="172" spans="7:19" ht="13.2" x14ac:dyDescent="0.25">
      <c r="G172" s="30"/>
      <c r="H172" s="30"/>
      <c r="I172" s="30"/>
      <c r="J172" s="30"/>
      <c r="K172" s="34">
        <f t="shared" si="17"/>
        <v>1.3392287424204775E-2</v>
      </c>
      <c r="L172" s="37">
        <f t="shared" si="18"/>
        <v>0.89294776251875529</v>
      </c>
      <c r="M172" s="34">
        <f t="shared" si="19"/>
        <v>9.7222720111463019</v>
      </c>
      <c r="N172" s="37">
        <f t="shared" si="20"/>
        <v>5.4402651729776439</v>
      </c>
      <c r="O172" s="37">
        <f t="shared" si="21"/>
        <v>5.444265065638751</v>
      </c>
      <c r="P172" s="34">
        <f t="shared" si="22"/>
        <v>5.7035743151468257</v>
      </c>
      <c r="Q172" s="37">
        <f t="shared" si="23"/>
        <v>5.6822801372943532</v>
      </c>
      <c r="R172" s="37">
        <f t="shared" si="24"/>
        <v>5.2315201363788537</v>
      </c>
      <c r="S172" s="33">
        <f t="shared" si="13"/>
        <v>38.13051688852569</v>
      </c>
    </row>
    <row r="173" spans="7:19" ht="13.2" x14ac:dyDescent="0.25">
      <c r="G173" s="30"/>
      <c r="H173" s="30"/>
      <c r="I173" s="30"/>
      <c r="J173" s="30"/>
      <c r="K173" s="34">
        <f t="shared" si="17"/>
        <v>3.7713912861266873E-3</v>
      </c>
      <c r="L173" s="37">
        <f t="shared" si="18"/>
        <v>0.79787240449929708</v>
      </c>
      <c r="M173" s="34">
        <f t="shared" si="19"/>
        <v>9.1632637308365972</v>
      </c>
      <c r="N173" s="37">
        <f t="shared" si="20"/>
        <v>5.2260140240733586</v>
      </c>
      <c r="O173" s="37">
        <f t="shared" si="21"/>
        <v>5.2812240658292513</v>
      </c>
      <c r="P173" s="34">
        <f t="shared" si="22"/>
        <v>5.5657801927283197</v>
      </c>
      <c r="Q173" s="37">
        <f t="shared" si="23"/>
        <v>5.5672355928884913</v>
      </c>
      <c r="R173" s="37">
        <f t="shared" si="24"/>
        <v>5.1403659661743157</v>
      </c>
      <c r="S173" s="33">
        <f t="shared" si="13"/>
        <v>36.745527368315756</v>
      </c>
    </row>
    <row r="174" spans="7:19" ht="13.2" x14ac:dyDescent="0.25">
      <c r="G174" s="30"/>
      <c r="H174" s="30"/>
      <c r="I174" s="30"/>
      <c r="J174" s="30"/>
      <c r="K174" s="30"/>
      <c r="L174" s="37">
        <f t="shared" si="18"/>
        <v>0.70279704647983898</v>
      </c>
      <c r="M174" s="34">
        <f t="shared" si="19"/>
        <v>8.6042554505268996</v>
      </c>
      <c r="N174" s="37">
        <f t="shared" si="20"/>
        <v>5.0117628751690724</v>
      </c>
      <c r="O174" s="37">
        <f t="shared" si="21"/>
        <v>5.1181830660197543</v>
      </c>
      <c r="P174" s="34">
        <f t="shared" si="22"/>
        <v>5.4279860703098111</v>
      </c>
      <c r="Q174" s="37">
        <f t="shared" si="23"/>
        <v>5.4521910484826286</v>
      </c>
      <c r="R174" s="37">
        <f t="shared" si="24"/>
        <v>5.0492117959697778</v>
      </c>
      <c r="S174" s="33">
        <f t="shared" si="13"/>
        <v>35.36638735295778</v>
      </c>
    </row>
    <row r="175" spans="7:19" ht="13.2" x14ac:dyDescent="0.25">
      <c r="G175" s="30"/>
      <c r="H175" s="30"/>
      <c r="I175" s="30"/>
      <c r="J175" s="30"/>
      <c r="K175" s="30"/>
      <c r="L175" s="37">
        <f t="shared" si="18"/>
        <v>0.60772168846037966</v>
      </c>
      <c r="M175" s="34">
        <f t="shared" si="19"/>
        <v>8.0452471702172019</v>
      </c>
      <c r="N175" s="37">
        <f t="shared" si="20"/>
        <v>4.7975117262647871</v>
      </c>
      <c r="O175" s="37">
        <f t="shared" si="21"/>
        <v>4.9551420662102572</v>
      </c>
      <c r="P175" s="34">
        <f t="shared" si="22"/>
        <v>5.2901919478913051</v>
      </c>
      <c r="Q175" s="37">
        <f t="shared" si="23"/>
        <v>5.3371465040767667</v>
      </c>
      <c r="R175" s="37">
        <f t="shared" si="24"/>
        <v>4.9580576257652398</v>
      </c>
      <c r="S175" s="33">
        <f t="shared" si="13"/>
        <v>33.99101872888594</v>
      </c>
    </row>
    <row r="176" spans="7:19" ht="13.2" x14ac:dyDescent="0.25">
      <c r="G176" s="30"/>
      <c r="H176" s="30"/>
      <c r="I176" s="30"/>
      <c r="J176" s="30"/>
      <c r="K176" s="30"/>
      <c r="L176" s="37">
        <f t="shared" si="18"/>
        <v>0.51264633044092145</v>
      </c>
      <c r="M176" s="34">
        <f t="shared" si="19"/>
        <v>7.4862388899074972</v>
      </c>
      <c r="N176" s="37">
        <f t="shared" si="20"/>
        <v>4.5832605773605009</v>
      </c>
      <c r="O176" s="37">
        <f t="shared" si="21"/>
        <v>4.7921010664007584</v>
      </c>
      <c r="P176" s="34">
        <f t="shared" si="22"/>
        <v>5.1523978254727991</v>
      </c>
      <c r="Q176" s="37">
        <f t="shared" si="23"/>
        <v>5.222101959670904</v>
      </c>
      <c r="R176" s="37">
        <f t="shared" si="24"/>
        <v>4.8669034555607009</v>
      </c>
      <c r="S176" s="33">
        <f t="shared" si="13"/>
        <v>32.61565010481408</v>
      </c>
    </row>
    <row r="177" spans="7:19" ht="13.2" x14ac:dyDescent="0.25">
      <c r="G177" s="30"/>
      <c r="H177" s="30"/>
      <c r="I177" s="30"/>
      <c r="J177" s="30"/>
      <c r="K177" s="30"/>
      <c r="L177" s="37">
        <f t="shared" si="18"/>
        <v>0.41757097242146213</v>
      </c>
      <c r="M177" s="34">
        <f t="shared" si="19"/>
        <v>6.9272306095977996</v>
      </c>
      <c r="N177" s="37">
        <f t="shared" si="20"/>
        <v>4.3690094284562146</v>
      </c>
      <c r="O177" s="37">
        <f t="shared" si="21"/>
        <v>4.6290600665912605</v>
      </c>
      <c r="P177" s="34">
        <f t="shared" si="22"/>
        <v>5.0146037030542931</v>
      </c>
      <c r="Q177" s="37">
        <f t="shared" si="23"/>
        <v>5.1070574152650412</v>
      </c>
      <c r="R177" s="37">
        <f t="shared" si="24"/>
        <v>4.7757492853561629</v>
      </c>
      <c r="S177" s="33">
        <f t="shared" si="13"/>
        <v>31.240281480742233</v>
      </c>
    </row>
    <row r="178" spans="7:19" ht="13.2" x14ac:dyDescent="0.25">
      <c r="G178" s="30"/>
      <c r="H178" s="30"/>
      <c r="I178" s="30"/>
      <c r="J178" s="30"/>
      <c r="K178" s="30"/>
      <c r="L178" s="37">
        <f t="shared" si="18"/>
        <v>0.32249561440200397</v>
      </c>
      <c r="M178" s="34">
        <f t="shared" si="19"/>
        <v>6.3682223292881019</v>
      </c>
      <c r="N178" s="37">
        <f t="shared" si="20"/>
        <v>4.1547582795519267</v>
      </c>
      <c r="O178" s="37">
        <f t="shared" si="21"/>
        <v>4.4660190667817634</v>
      </c>
      <c r="P178" s="34">
        <f t="shared" si="22"/>
        <v>4.8768095806357872</v>
      </c>
      <c r="Q178" s="37">
        <f t="shared" si="23"/>
        <v>4.9920128708591793</v>
      </c>
      <c r="R178" s="37">
        <f t="shared" si="24"/>
        <v>4.6845951151516241</v>
      </c>
      <c r="S178" s="33">
        <f t="shared" si="13"/>
        <v>29.864912856670387</v>
      </c>
    </row>
    <row r="179" spans="7:19" ht="13.2" x14ac:dyDescent="0.25">
      <c r="G179" s="30"/>
      <c r="H179" s="30"/>
      <c r="I179" s="30"/>
      <c r="J179" s="30"/>
      <c r="K179" s="30"/>
      <c r="L179" s="37">
        <f t="shared" si="18"/>
        <v>0.22742025638254465</v>
      </c>
      <c r="M179" s="34">
        <f t="shared" si="19"/>
        <v>5.8092140489784043</v>
      </c>
      <c r="N179" s="37">
        <f t="shared" si="20"/>
        <v>3.9405071306476405</v>
      </c>
      <c r="O179" s="37">
        <f t="shared" si="21"/>
        <v>4.3029780669722646</v>
      </c>
      <c r="P179" s="34">
        <f t="shared" si="22"/>
        <v>4.7390154582172803</v>
      </c>
      <c r="Q179" s="37">
        <f t="shared" si="23"/>
        <v>4.8769683264533166</v>
      </c>
      <c r="R179" s="37">
        <f t="shared" si="24"/>
        <v>4.593440944947087</v>
      </c>
      <c r="S179" s="33">
        <f t="shared" si="13"/>
        <v>28.48954423259854</v>
      </c>
    </row>
    <row r="180" spans="7:19" ht="13.2" x14ac:dyDescent="0.25">
      <c r="G180" s="30"/>
      <c r="H180" s="30"/>
      <c r="I180" s="30"/>
      <c r="J180" s="30"/>
      <c r="K180" s="30"/>
      <c r="L180" s="37">
        <f t="shared" si="18"/>
        <v>0.13234489836308649</v>
      </c>
      <c r="M180" s="34">
        <f t="shared" si="19"/>
        <v>5.2502057686687067</v>
      </c>
      <c r="N180" s="37">
        <f t="shared" si="20"/>
        <v>3.7262559817433547</v>
      </c>
      <c r="O180" s="37">
        <f t="shared" si="21"/>
        <v>4.1399370671627667</v>
      </c>
      <c r="P180" s="34">
        <f t="shared" si="22"/>
        <v>4.6012213357987743</v>
      </c>
      <c r="Q180" s="37">
        <f t="shared" si="23"/>
        <v>4.7619237820474547</v>
      </c>
      <c r="R180" s="37">
        <f t="shared" si="24"/>
        <v>4.502286774742549</v>
      </c>
      <c r="S180" s="33">
        <f t="shared" si="13"/>
        <v>27.114175608526693</v>
      </c>
    </row>
    <row r="181" spans="7:19" ht="13.2" x14ac:dyDescent="0.25">
      <c r="G181" s="30"/>
      <c r="H181" s="30"/>
      <c r="I181" s="30"/>
      <c r="J181" s="30"/>
      <c r="K181" s="30"/>
      <c r="L181" s="37">
        <f t="shared" si="18"/>
        <v>3.7269540343628352E-2</v>
      </c>
      <c r="M181" s="34">
        <f t="shared" si="19"/>
        <v>4.6911974883590082</v>
      </c>
      <c r="N181" s="37">
        <f t="shared" si="20"/>
        <v>3.5120048328390663</v>
      </c>
      <c r="O181" s="37">
        <f t="shared" si="21"/>
        <v>3.9768960673532696</v>
      </c>
      <c r="P181" s="34">
        <f t="shared" si="22"/>
        <v>4.4634272133802666</v>
      </c>
      <c r="Q181" s="37">
        <f t="shared" si="23"/>
        <v>4.6468792376415919</v>
      </c>
      <c r="R181" s="37">
        <f t="shared" si="24"/>
        <v>4.411132604538011</v>
      </c>
      <c r="S181" s="33">
        <f t="shared" si="13"/>
        <v>25.738806984454843</v>
      </c>
    </row>
    <row r="182" spans="7:19" ht="13.2" x14ac:dyDescent="0.25">
      <c r="G182" s="30"/>
      <c r="H182" s="30"/>
      <c r="I182" s="30"/>
      <c r="J182" s="30"/>
      <c r="K182" s="30"/>
      <c r="L182" s="30"/>
      <c r="M182" s="34">
        <f t="shared" si="19"/>
        <v>4.1321892080493106</v>
      </c>
      <c r="N182" s="37">
        <f t="shared" si="20"/>
        <v>3.2977536839347805</v>
      </c>
      <c r="O182" s="37">
        <f t="shared" si="21"/>
        <v>3.8138550675437726</v>
      </c>
      <c r="P182" s="34">
        <f t="shared" si="22"/>
        <v>4.3256330909617606</v>
      </c>
      <c r="Q182" s="37">
        <f t="shared" si="23"/>
        <v>4.5318346932357292</v>
      </c>
      <c r="R182" s="37">
        <f t="shared" si="24"/>
        <v>4.3199784343334731</v>
      </c>
      <c r="S182" s="33">
        <f t="shared" si="13"/>
        <v>24.421244178058828</v>
      </c>
    </row>
    <row r="183" spans="7:19" ht="13.2" x14ac:dyDescent="0.25">
      <c r="G183" s="30"/>
      <c r="H183" s="30"/>
      <c r="I183" s="30"/>
      <c r="J183" s="30"/>
      <c r="K183" s="30"/>
      <c r="L183" s="30"/>
      <c r="M183" s="34">
        <f t="shared" si="19"/>
        <v>3.5731809277396063</v>
      </c>
      <c r="N183" s="37">
        <f t="shared" si="20"/>
        <v>3.0835025350304943</v>
      </c>
      <c r="O183" s="37">
        <f t="shared" si="21"/>
        <v>3.6508140677342755</v>
      </c>
      <c r="P183" s="34">
        <f t="shared" si="22"/>
        <v>4.1878389685432547</v>
      </c>
      <c r="Q183" s="37">
        <f t="shared" si="23"/>
        <v>4.4167901488298673</v>
      </c>
      <c r="R183" s="37">
        <f t="shared" si="24"/>
        <v>4.2288242641289342</v>
      </c>
      <c r="S183" s="33">
        <f t="shared" si="13"/>
        <v>23.140950912006435</v>
      </c>
    </row>
    <row r="184" spans="7:19" ht="13.2" x14ac:dyDescent="0.25">
      <c r="G184" s="30"/>
      <c r="H184" s="30"/>
      <c r="I184" s="30"/>
      <c r="J184" s="30"/>
      <c r="K184" s="30"/>
      <c r="L184" s="30"/>
      <c r="M184" s="34">
        <f t="shared" si="19"/>
        <v>3.0141726474299086</v>
      </c>
      <c r="N184" s="37">
        <f t="shared" si="20"/>
        <v>2.8692513861262059</v>
      </c>
      <c r="O184" s="37">
        <f t="shared" si="21"/>
        <v>3.487773067924778</v>
      </c>
      <c r="P184" s="34">
        <f t="shared" si="22"/>
        <v>4.050044846124746</v>
      </c>
      <c r="Q184" s="37">
        <f t="shared" si="23"/>
        <v>4.3017456044240046</v>
      </c>
      <c r="R184" s="37">
        <f t="shared" si="24"/>
        <v>4.1376700939243962</v>
      </c>
      <c r="S184" s="33">
        <f t="shared" si="13"/>
        <v>21.860657645954038</v>
      </c>
    </row>
    <row r="185" spans="7:19" ht="13.2" x14ac:dyDescent="0.25">
      <c r="G185" s="30"/>
      <c r="H185" s="30"/>
      <c r="I185" s="30"/>
      <c r="J185" s="30"/>
      <c r="K185" s="30"/>
      <c r="L185" s="30"/>
      <c r="M185" s="34">
        <f t="shared" si="19"/>
        <v>2.4551643671202039</v>
      </c>
      <c r="N185" s="37">
        <f t="shared" si="20"/>
        <v>2.6550002372219201</v>
      </c>
      <c r="O185" s="37">
        <f t="shared" si="21"/>
        <v>3.324732068115281</v>
      </c>
      <c r="P185" s="34">
        <f t="shared" si="22"/>
        <v>3.9122507237062401</v>
      </c>
      <c r="Q185" s="37">
        <f t="shared" si="23"/>
        <v>4.1867010600181427</v>
      </c>
      <c r="R185" s="37">
        <f t="shared" si="24"/>
        <v>4.0465159237198574</v>
      </c>
      <c r="S185" s="33">
        <f t="shared" si="13"/>
        <v>20.580364379901646</v>
      </c>
    </row>
    <row r="186" spans="7:19" ht="13.2" x14ac:dyDescent="0.25">
      <c r="G186" s="30"/>
      <c r="H186" s="30"/>
      <c r="I186" s="30"/>
      <c r="J186" s="30"/>
      <c r="K186" s="30"/>
      <c r="L186" s="30"/>
      <c r="M186" s="34">
        <f t="shared" si="19"/>
        <v>1.8961560868105061</v>
      </c>
      <c r="N186" s="37">
        <f t="shared" si="20"/>
        <v>2.4407490883176344</v>
      </c>
      <c r="O186" s="37">
        <f t="shared" si="21"/>
        <v>3.1616910683057817</v>
      </c>
      <c r="P186" s="34">
        <f t="shared" si="22"/>
        <v>3.7744566012877341</v>
      </c>
      <c r="Q186" s="37">
        <f t="shared" si="23"/>
        <v>4.0716565156122808</v>
      </c>
      <c r="R186" s="37">
        <f t="shared" si="24"/>
        <v>3.9553617535153203</v>
      </c>
      <c r="S186" s="33">
        <f t="shared" si="13"/>
        <v>19.300071113849256</v>
      </c>
    </row>
    <row r="187" spans="7:19" ht="13.2" x14ac:dyDescent="0.25">
      <c r="G187" s="30"/>
      <c r="H187" s="30"/>
      <c r="I187" s="30"/>
      <c r="J187" s="30"/>
      <c r="K187" s="30"/>
      <c r="L187" s="30"/>
      <c r="M187" s="34">
        <f t="shared" si="19"/>
        <v>1.3371478065008013</v>
      </c>
      <c r="N187" s="37">
        <f t="shared" si="20"/>
        <v>2.2264979394133482</v>
      </c>
      <c r="O187" s="37">
        <f t="shared" si="21"/>
        <v>2.9986500684962842</v>
      </c>
      <c r="P187" s="34">
        <f t="shared" si="22"/>
        <v>3.6366624788692263</v>
      </c>
      <c r="Q187" s="37">
        <f t="shared" si="23"/>
        <v>3.9566119712064189</v>
      </c>
      <c r="R187" s="37">
        <f t="shared" si="24"/>
        <v>3.8642075833107814</v>
      </c>
      <c r="S187" s="33">
        <f t="shared" si="13"/>
        <v>18.01977784779686</v>
      </c>
    </row>
    <row r="188" spans="7:19" ht="13.2" x14ac:dyDescent="0.25">
      <c r="G188" s="30"/>
      <c r="H188" s="30"/>
      <c r="I188" s="30"/>
      <c r="J188" s="30"/>
      <c r="K188" s="30"/>
      <c r="L188" s="30"/>
      <c r="M188" s="34">
        <f t="shared" si="19"/>
        <v>0.7781395261911036</v>
      </c>
      <c r="N188" s="37">
        <f t="shared" si="20"/>
        <v>2.0122467905090624</v>
      </c>
      <c r="O188" s="37">
        <f t="shared" si="21"/>
        <v>2.8356090686867872</v>
      </c>
      <c r="P188" s="34">
        <f t="shared" si="22"/>
        <v>3.4988683564507199</v>
      </c>
      <c r="Q188" s="37">
        <f t="shared" si="23"/>
        <v>3.8415674268005571</v>
      </c>
      <c r="R188" s="37">
        <f t="shared" si="24"/>
        <v>3.7730534131062434</v>
      </c>
      <c r="S188" s="33">
        <f t="shared" si="13"/>
        <v>16.739484581744474</v>
      </c>
    </row>
    <row r="189" spans="7:19" ht="13.2" x14ac:dyDescent="0.25">
      <c r="G189" s="30"/>
      <c r="H189" s="30"/>
      <c r="I189" s="30"/>
      <c r="J189" s="30"/>
      <c r="K189" s="30"/>
      <c r="L189" s="30"/>
      <c r="M189" s="34">
        <f t="shared" si="19"/>
        <v>0.21913124588140595</v>
      </c>
      <c r="N189" s="37">
        <f t="shared" si="20"/>
        <v>1.7979956416047767</v>
      </c>
      <c r="O189" s="37">
        <f t="shared" si="21"/>
        <v>2.6725680688772879</v>
      </c>
      <c r="P189" s="34">
        <f t="shared" si="22"/>
        <v>3.3610742340322139</v>
      </c>
      <c r="Q189" s="37">
        <f t="shared" si="23"/>
        <v>3.7265228823946934</v>
      </c>
      <c r="R189" s="37">
        <f t="shared" si="24"/>
        <v>3.6818992429017054</v>
      </c>
      <c r="S189" s="33">
        <f t="shared" si="13"/>
        <v>15.459191315692083</v>
      </c>
    </row>
    <row r="190" spans="7:19" ht="13.2" x14ac:dyDescent="0.25">
      <c r="G190" s="30"/>
      <c r="H190" s="30"/>
      <c r="I190" s="30"/>
      <c r="J190" s="30"/>
      <c r="K190" s="30"/>
      <c r="L190" s="30"/>
      <c r="M190" s="30"/>
      <c r="N190" s="37">
        <f t="shared" si="20"/>
        <v>1.5837444927004909</v>
      </c>
      <c r="O190" s="37">
        <f t="shared" si="21"/>
        <v>2.5095270690677909</v>
      </c>
      <c r="P190" s="34">
        <f t="shared" si="22"/>
        <v>3.2232801116137075</v>
      </c>
      <c r="Q190" s="37">
        <f t="shared" si="23"/>
        <v>3.6114783379888316</v>
      </c>
      <c r="R190" s="37">
        <f t="shared" si="24"/>
        <v>3.5907450726971666</v>
      </c>
      <c r="S190" s="33">
        <f t="shared" si="13"/>
        <v>14.518775084067986</v>
      </c>
    </row>
    <row r="191" spans="7:19" ht="13.2" x14ac:dyDescent="0.25">
      <c r="G191" s="30"/>
      <c r="H191" s="30"/>
      <c r="I191" s="30"/>
      <c r="J191" s="30"/>
      <c r="K191" s="30"/>
      <c r="L191" s="30"/>
      <c r="M191" s="30"/>
      <c r="N191" s="37">
        <f t="shared" si="20"/>
        <v>1.3694933437962022</v>
      </c>
      <c r="O191" s="37">
        <f t="shared" si="21"/>
        <v>2.3464860692582934</v>
      </c>
      <c r="P191" s="34">
        <f t="shared" si="22"/>
        <v>3.0854859891952016</v>
      </c>
      <c r="Q191" s="37">
        <f t="shared" si="23"/>
        <v>3.4964337935829697</v>
      </c>
      <c r="R191" s="37">
        <f t="shared" si="24"/>
        <v>3.4995909024926286</v>
      </c>
      <c r="S191" s="33">
        <f t="shared" si="13"/>
        <v>13.797490098325294</v>
      </c>
    </row>
    <row r="192" spans="7:19" ht="13.2" x14ac:dyDescent="0.25">
      <c r="G192" s="30"/>
      <c r="H192" s="30"/>
      <c r="I192" s="30"/>
      <c r="J192" s="30"/>
      <c r="K192" s="30"/>
      <c r="L192" s="30"/>
      <c r="M192" s="30"/>
      <c r="N192" s="37">
        <f t="shared" si="20"/>
        <v>1.1552421948919165</v>
      </c>
      <c r="O192" s="37">
        <f t="shared" si="21"/>
        <v>2.1834450694487941</v>
      </c>
      <c r="P192" s="34">
        <f t="shared" si="22"/>
        <v>2.9476918667766951</v>
      </c>
      <c r="Q192" s="37">
        <f t="shared" si="23"/>
        <v>3.381389249177106</v>
      </c>
      <c r="R192" s="37">
        <f t="shared" si="24"/>
        <v>3.4084367322880911</v>
      </c>
      <c r="S192" s="33">
        <f t="shared" si="13"/>
        <v>13.076205112582603</v>
      </c>
    </row>
    <row r="193" spans="7:19" ht="13.2" x14ac:dyDescent="0.25">
      <c r="G193" s="30"/>
      <c r="H193" s="30"/>
      <c r="I193" s="30"/>
      <c r="J193" s="30"/>
      <c r="K193" s="30"/>
      <c r="L193" s="30"/>
      <c r="M193" s="30"/>
      <c r="N193" s="37">
        <f t="shared" si="20"/>
        <v>0.94099104598762784</v>
      </c>
      <c r="O193" s="37">
        <f t="shared" si="21"/>
        <v>2.0204040696392971</v>
      </c>
      <c r="P193" s="34">
        <f t="shared" si="22"/>
        <v>2.8098977443581892</v>
      </c>
      <c r="Q193" s="37">
        <f t="shared" si="23"/>
        <v>3.2663447047712442</v>
      </c>
      <c r="R193" s="37">
        <f t="shared" si="24"/>
        <v>3.3172825620835531</v>
      </c>
      <c r="S193" s="33">
        <f t="shared" si="13"/>
        <v>12.354920126839913</v>
      </c>
    </row>
    <row r="194" spans="7:19" ht="13.2" x14ac:dyDescent="0.25">
      <c r="G194" s="30"/>
      <c r="H194" s="30"/>
      <c r="I194" s="30"/>
      <c r="J194" s="30"/>
      <c r="K194" s="30"/>
      <c r="L194" s="30"/>
      <c r="M194" s="30"/>
      <c r="N194" s="37">
        <f t="shared" si="20"/>
        <v>0.72673989708334197</v>
      </c>
      <c r="O194" s="37">
        <f t="shared" si="21"/>
        <v>1.8573630698297998</v>
      </c>
      <c r="P194" s="34">
        <f t="shared" si="22"/>
        <v>2.6721036219396814</v>
      </c>
      <c r="Q194" s="37">
        <f t="shared" si="23"/>
        <v>3.1513001603653823</v>
      </c>
      <c r="R194" s="37">
        <f t="shared" si="24"/>
        <v>3.2261283918790151</v>
      </c>
      <c r="S194" s="33">
        <f t="shared" si="13"/>
        <v>11.633635141097221</v>
      </c>
    </row>
    <row r="195" spans="7:19" ht="13.2" x14ac:dyDescent="0.25">
      <c r="G195" s="30"/>
      <c r="H195" s="30"/>
      <c r="I195" s="30"/>
      <c r="J195" s="30"/>
      <c r="K195" s="30"/>
      <c r="L195" s="30"/>
      <c r="M195" s="30"/>
      <c r="N195" s="37">
        <f t="shared" si="20"/>
        <v>0.51248874817905343</v>
      </c>
      <c r="O195" s="37">
        <f t="shared" si="21"/>
        <v>1.6943220700203026</v>
      </c>
      <c r="P195" s="34">
        <f t="shared" si="22"/>
        <v>2.534309499521175</v>
      </c>
      <c r="Q195" s="37">
        <f t="shared" si="23"/>
        <v>3.0362556159595187</v>
      </c>
      <c r="R195" s="37">
        <f t="shared" si="24"/>
        <v>3.1349742216744771</v>
      </c>
      <c r="S195" s="33">
        <f t="shared" si="13"/>
        <v>10.912350155354527</v>
      </c>
    </row>
    <row r="196" spans="7:19" ht="13.2" x14ac:dyDescent="0.25">
      <c r="G196" s="30"/>
      <c r="H196" s="30"/>
      <c r="I196" s="30"/>
      <c r="J196" s="30"/>
      <c r="K196" s="30"/>
      <c r="L196" s="30"/>
      <c r="M196" s="30"/>
      <c r="N196" s="37">
        <f t="shared" si="20"/>
        <v>0.29823759927476762</v>
      </c>
      <c r="O196" s="37">
        <f t="shared" si="21"/>
        <v>1.5312810702108053</v>
      </c>
      <c r="P196" s="34">
        <f t="shared" si="22"/>
        <v>2.396515377102669</v>
      </c>
      <c r="Q196" s="37">
        <f t="shared" si="23"/>
        <v>2.9212110715536568</v>
      </c>
      <c r="R196" s="37">
        <f t="shared" si="24"/>
        <v>3.0438200514699396</v>
      </c>
      <c r="S196" s="33">
        <f t="shared" si="13"/>
        <v>10.191065169611839</v>
      </c>
    </row>
    <row r="197" spans="7:19" ht="13.2" x14ac:dyDescent="0.25">
      <c r="G197" s="30"/>
      <c r="H197" s="30"/>
      <c r="I197" s="30"/>
      <c r="J197" s="30"/>
      <c r="K197" s="30"/>
      <c r="L197" s="30"/>
      <c r="M197" s="30"/>
      <c r="N197" s="37">
        <f t="shared" si="20"/>
        <v>8.3986450370481761E-2</v>
      </c>
      <c r="O197" s="37">
        <f t="shared" si="21"/>
        <v>1.3682400704013082</v>
      </c>
      <c r="P197" s="34">
        <f t="shared" si="22"/>
        <v>2.2587212546841609</v>
      </c>
      <c r="Q197" s="37">
        <f t="shared" si="23"/>
        <v>2.8061665271477949</v>
      </c>
      <c r="R197" s="37">
        <f t="shared" si="24"/>
        <v>2.9526658812654003</v>
      </c>
      <c r="S197" s="33">
        <f t="shared" si="13"/>
        <v>9.4697801838691458</v>
      </c>
    </row>
    <row r="198" spans="7:19" ht="13.2" x14ac:dyDescent="0.25">
      <c r="G198" s="30"/>
      <c r="H198" s="30"/>
      <c r="I198" s="30"/>
      <c r="J198" s="30"/>
      <c r="K198" s="30"/>
      <c r="L198" s="30"/>
      <c r="M198" s="30"/>
      <c r="N198" s="30"/>
      <c r="O198" s="37">
        <f t="shared" si="21"/>
        <v>1.205199070591811</v>
      </c>
      <c r="P198" s="34">
        <f t="shared" si="22"/>
        <v>2.1209271322656549</v>
      </c>
      <c r="Q198" s="37">
        <f t="shared" si="23"/>
        <v>2.691121982741933</v>
      </c>
      <c r="R198" s="37">
        <f t="shared" si="24"/>
        <v>2.8615117110608628</v>
      </c>
      <c r="S198" s="33">
        <f t="shared" si="13"/>
        <v>8.878759896660263</v>
      </c>
    </row>
    <row r="199" spans="7:19" ht="13.2" x14ac:dyDescent="0.25">
      <c r="G199" s="30"/>
      <c r="H199" s="30"/>
      <c r="I199" s="30"/>
      <c r="J199" s="30"/>
      <c r="K199" s="30"/>
      <c r="L199" s="30"/>
      <c r="M199" s="30"/>
      <c r="N199" s="30"/>
      <c r="O199" s="37">
        <f t="shared" si="21"/>
        <v>1.0421580707823117</v>
      </c>
      <c r="P199" s="34">
        <f t="shared" si="22"/>
        <v>1.9831330098471487</v>
      </c>
      <c r="Q199" s="37">
        <f t="shared" si="23"/>
        <v>2.5760774383360712</v>
      </c>
      <c r="R199" s="37">
        <f t="shared" si="24"/>
        <v>2.7703575408563248</v>
      </c>
      <c r="S199" s="33">
        <f t="shared" si="13"/>
        <v>8.3717260598218566</v>
      </c>
    </row>
    <row r="200" spans="7:19" ht="13.2" x14ac:dyDescent="0.25">
      <c r="G200" s="30"/>
      <c r="H200" s="30"/>
      <c r="I200" s="30"/>
      <c r="J200" s="30"/>
      <c r="K200" s="30"/>
      <c r="L200" s="30"/>
      <c r="M200" s="30"/>
      <c r="N200" s="30"/>
      <c r="O200" s="37">
        <f t="shared" si="21"/>
        <v>0.87911707097281444</v>
      </c>
      <c r="P200" s="34">
        <f t="shared" si="22"/>
        <v>1.8453388874286409</v>
      </c>
      <c r="Q200" s="37">
        <f t="shared" si="23"/>
        <v>2.4610328939302089</v>
      </c>
      <c r="R200" s="37">
        <f t="shared" si="24"/>
        <v>2.6792033706517855</v>
      </c>
      <c r="S200" s="33">
        <f t="shared" si="13"/>
        <v>7.8646922229834502</v>
      </c>
    </row>
    <row r="201" spans="7:19" ht="13.2" x14ac:dyDescent="0.25">
      <c r="G201" s="30"/>
      <c r="H201" s="30"/>
      <c r="I201" s="30"/>
      <c r="J201" s="30"/>
      <c r="K201" s="30"/>
      <c r="L201" s="30"/>
      <c r="M201" s="30"/>
      <c r="N201" s="30"/>
      <c r="O201" s="37">
        <f t="shared" si="21"/>
        <v>0.71607607116331518</v>
      </c>
      <c r="P201" s="34">
        <f t="shared" si="22"/>
        <v>1.7075447650101347</v>
      </c>
      <c r="Q201" s="37">
        <f t="shared" si="23"/>
        <v>2.345988349524347</v>
      </c>
      <c r="R201" s="37">
        <f t="shared" si="24"/>
        <v>2.588049200447248</v>
      </c>
      <c r="S201" s="33">
        <f t="shared" si="13"/>
        <v>7.3576583861450455</v>
      </c>
    </row>
    <row r="202" spans="7:19" ht="13.2" x14ac:dyDescent="0.25">
      <c r="G202" s="30"/>
      <c r="H202" s="30"/>
      <c r="I202" s="30"/>
      <c r="J202" s="30"/>
      <c r="K202" s="30"/>
      <c r="L202" s="30"/>
      <c r="M202" s="30"/>
      <c r="N202" s="30"/>
      <c r="O202" s="37">
        <f t="shared" si="21"/>
        <v>0.55303507135381791</v>
      </c>
      <c r="P202" s="34">
        <f t="shared" si="22"/>
        <v>1.5697506425916286</v>
      </c>
      <c r="Q202" s="37">
        <f t="shared" si="23"/>
        <v>2.2309438051184838</v>
      </c>
      <c r="R202" s="37">
        <f t="shared" si="24"/>
        <v>2.49689503024271</v>
      </c>
      <c r="S202" s="33">
        <f t="shared" si="13"/>
        <v>6.85062454930664</v>
      </c>
    </row>
    <row r="203" spans="7:19" ht="13.2" x14ac:dyDescent="0.25">
      <c r="G203" s="30"/>
      <c r="H203" s="30"/>
      <c r="I203" s="30"/>
      <c r="J203" s="30"/>
      <c r="K203" s="30"/>
      <c r="L203" s="30"/>
      <c r="M203" s="30"/>
      <c r="N203" s="30"/>
      <c r="O203" s="37">
        <f t="shared" si="21"/>
        <v>0.38999407154431864</v>
      </c>
      <c r="P203" s="34">
        <f t="shared" si="22"/>
        <v>1.4319565201731224</v>
      </c>
      <c r="Q203" s="37">
        <f t="shared" si="23"/>
        <v>2.1158992607126215</v>
      </c>
      <c r="R203" s="37">
        <f t="shared" si="24"/>
        <v>2.4057408600381711</v>
      </c>
      <c r="S203" s="33">
        <f t="shared" si="13"/>
        <v>6.3435907124682336</v>
      </c>
    </row>
    <row r="204" spans="7:19" ht="13.2" x14ac:dyDescent="0.25">
      <c r="G204" s="30"/>
      <c r="H204" s="30"/>
      <c r="I204" s="30"/>
      <c r="J204" s="30"/>
      <c r="K204" s="30"/>
      <c r="L204" s="30"/>
      <c r="M204" s="30"/>
      <c r="N204" s="30"/>
      <c r="O204" s="37">
        <f t="shared" si="21"/>
        <v>0.22695307173482143</v>
      </c>
      <c r="P204" s="34">
        <f t="shared" si="22"/>
        <v>1.2941623977546162</v>
      </c>
      <c r="Q204" s="37">
        <f t="shared" si="23"/>
        <v>2.0008547163067596</v>
      </c>
      <c r="R204" s="37">
        <f t="shared" si="24"/>
        <v>2.3145866898336331</v>
      </c>
      <c r="S204" s="33">
        <f t="shared" si="13"/>
        <v>5.8365568756298298</v>
      </c>
    </row>
    <row r="205" spans="7:19" ht="13.2" x14ac:dyDescent="0.25">
      <c r="G205" s="30"/>
      <c r="H205" s="30"/>
      <c r="I205" s="30"/>
      <c r="J205" s="30"/>
      <c r="K205" s="30"/>
      <c r="L205" s="30"/>
      <c r="M205" s="30"/>
      <c r="N205" s="30"/>
      <c r="O205" s="37">
        <f t="shared" si="21"/>
        <v>6.3912071925324207E-2</v>
      </c>
      <c r="P205" s="34">
        <f t="shared" si="22"/>
        <v>1.15636827533611</v>
      </c>
      <c r="Q205" s="37">
        <f t="shared" si="23"/>
        <v>1.8858101719008962</v>
      </c>
      <c r="R205" s="37">
        <f t="shared" si="24"/>
        <v>2.2234325196290952</v>
      </c>
      <c r="S205" s="33">
        <f t="shared" si="13"/>
        <v>5.3295230387914252</v>
      </c>
    </row>
    <row r="206" spans="7:19" ht="13.2" x14ac:dyDescent="0.25">
      <c r="G206" s="30"/>
      <c r="H206" s="30"/>
      <c r="I206" s="30"/>
      <c r="J206" s="30"/>
      <c r="K206" s="30"/>
      <c r="L206" s="30"/>
      <c r="M206" s="30"/>
      <c r="N206" s="30"/>
      <c r="O206" s="30"/>
      <c r="P206" s="34">
        <f t="shared" si="22"/>
        <v>1.0185741529176038</v>
      </c>
      <c r="Q206" s="37">
        <f t="shared" si="23"/>
        <v>1.7707656274950343</v>
      </c>
      <c r="R206" s="37">
        <f t="shared" si="24"/>
        <v>2.1322783494245572</v>
      </c>
      <c r="S206" s="33">
        <f t="shared" si="13"/>
        <v>4.9216181298371957</v>
      </c>
    </row>
    <row r="207" spans="7:19" ht="13.2" x14ac:dyDescent="0.25">
      <c r="G207" s="30"/>
      <c r="H207" s="30"/>
      <c r="I207" s="30"/>
      <c r="J207" s="30"/>
      <c r="K207" s="30"/>
      <c r="L207" s="30"/>
      <c r="M207" s="30"/>
      <c r="N207" s="30"/>
      <c r="O207" s="30"/>
      <c r="P207" s="34">
        <f t="shared" si="22"/>
        <v>0.88078003049909592</v>
      </c>
      <c r="Q207" s="37">
        <f t="shared" si="23"/>
        <v>1.6557210830891722</v>
      </c>
      <c r="R207" s="37">
        <f t="shared" si="24"/>
        <v>2.0411241792200197</v>
      </c>
      <c r="S207" s="33">
        <f t="shared" si="13"/>
        <v>4.5776252928082872</v>
      </c>
    </row>
    <row r="208" spans="7:19" ht="13.2" x14ac:dyDescent="0.25">
      <c r="G208" s="30"/>
      <c r="H208" s="30"/>
      <c r="I208" s="30"/>
      <c r="J208" s="30"/>
      <c r="K208" s="30"/>
      <c r="L208" s="30"/>
      <c r="M208" s="30"/>
      <c r="N208" s="30"/>
      <c r="O208" s="30"/>
      <c r="P208" s="34">
        <f t="shared" si="22"/>
        <v>0.74298590808058984</v>
      </c>
      <c r="Q208" s="37">
        <f t="shared" si="23"/>
        <v>1.5406765386833088</v>
      </c>
      <c r="R208" s="37">
        <f t="shared" si="24"/>
        <v>1.9499700090154817</v>
      </c>
      <c r="S208" s="33">
        <f t="shared" si="13"/>
        <v>4.2336324557793805</v>
      </c>
    </row>
    <row r="209" spans="7:19" ht="13.2" x14ac:dyDescent="0.25">
      <c r="G209" s="30"/>
      <c r="H209" s="30"/>
      <c r="I209" s="30"/>
      <c r="J209" s="30"/>
      <c r="K209" s="30"/>
      <c r="L209" s="30"/>
      <c r="M209" s="30"/>
      <c r="N209" s="30"/>
      <c r="O209" s="30"/>
      <c r="P209" s="34">
        <f t="shared" si="22"/>
        <v>0.60519178566208187</v>
      </c>
      <c r="Q209" s="37">
        <f t="shared" si="23"/>
        <v>1.4256319942774469</v>
      </c>
      <c r="R209" s="37">
        <f t="shared" si="24"/>
        <v>1.8588158388109437</v>
      </c>
      <c r="S209" s="33">
        <f t="shared" si="13"/>
        <v>3.8896396187504725</v>
      </c>
    </row>
    <row r="210" spans="7:19" ht="13.2" x14ac:dyDescent="0.25">
      <c r="G210" s="30"/>
      <c r="H210" s="30"/>
      <c r="I210" s="30"/>
      <c r="J210" s="30"/>
      <c r="K210" s="30"/>
      <c r="L210" s="30"/>
      <c r="M210" s="30"/>
      <c r="N210" s="30"/>
      <c r="O210" s="30"/>
      <c r="P210" s="34">
        <f t="shared" si="22"/>
        <v>0.46739766324357573</v>
      </c>
      <c r="Q210" s="37">
        <f t="shared" si="23"/>
        <v>1.3105874498715848</v>
      </c>
      <c r="R210" s="37">
        <f t="shared" si="24"/>
        <v>1.7676616686064048</v>
      </c>
      <c r="S210" s="33">
        <f t="shared" si="13"/>
        <v>3.5456467817215653</v>
      </c>
    </row>
    <row r="211" spans="7:19" ht="13.2" x14ac:dyDescent="0.25">
      <c r="G211" s="30"/>
      <c r="H211" s="30"/>
      <c r="I211" s="30"/>
      <c r="J211" s="30"/>
      <c r="K211" s="30"/>
      <c r="L211" s="30"/>
      <c r="M211" s="30"/>
      <c r="N211" s="30"/>
      <c r="O211" s="30"/>
      <c r="P211" s="34">
        <f t="shared" si="22"/>
        <v>0.32960354082506782</v>
      </c>
      <c r="Q211" s="37">
        <f t="shared" si="23"/>
        <v>1.1955429054657229</v>
      </c>
      <c r="R211" s="37">
        <f t="shared" si="24"/>
        <v>1.6765074984018669</v>
      </c>
      <c r="S211" s="33">
        <f t="shared" si="13"/>
        <v>3.2016539446926577</v>
      </c>
    </row>
    <row r="212" spans="7:19" ht="13.2" x14ac:dyDescent="0.25">
      <c r="G212" s="30"/>
      <c r="H212" s="30"/>
      <c r="I212" s="30"/>
      <c r="J212" s="30"/>
      <c r="K212" s="30"/>
      <c r="L212" s="30"/>
      <c r="M212" s="30"/>
      <c r="N212" s="30"/>
      <c r="O212" s="30"/>
      <c r="P212" s="34">
        <f t="shared" si="22"/>
        <v>0.19180941840656168</v>
      </c>
      <c r="Q212" s="37">
        <f t="shared" si="23"/>
        <v>1.0804983610598609</v>
      </c>
      <c r="R212" s="37">
        <f t="shared" si="24"/>
        <v>1.5853533281973291</v>
      </c>
      <c r="S212" s="33">
        <f t="shared" si="13"/>
        <v>2.8576611076637519</v>
      </c>
    </row>
    <row r="213" spans="7:19" ht="13.2" x14ac:dyDescent="0.25">
      <c r="G213" s="30"/>
      <c r="H213" s="30"/>
      <c r="I213" s="30"/>
      <c r="J213" s="30"/>
      <c r="K213" s="30"/>
      <c r="L213" s="30"/>
      <c r="M213" s="30"/>
      <c r="N213" s="30"/>
      <c r="O213" s="30"/>
      <c r="P213" s="34">
        <f t="shared" si="22"/>
        <v>5.401529598805551E-2</v>
      </c>
      <c r="Q213" s="37">
        <f t="shared" si="23"/>
        <v>0.96545381665399899</v>
      </c>
      <c r="R213" s="37">
        <f t="shared" si="24"/>
        <v>1.49419915799279</v>
      </c>
      <c r="S213" s="33">
        <f t="shared" si="13"/>
        <v>2.5136682706348443</v>
      </c>
    </row>
    <row r="214" spans="7:19" ht="13.2" x14ac:dyDescent="0.25"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7">
        <f t="shared" si="23"/>
        <v>0.850409272248137</v>
      </c>
      <c r="R214" s="37">
        <f t="shared" si="24"/>
        <v>1.403044987788252</v>
      </c>
      <c r="S214" s="33">
        <f t="shared" si="13"/>
        <v>2.2534542600363889</v>
      </c>
    </row>
    <row r="215" spans="7:19" ht="13.2" x14ac:dyDescent="0.25"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7">
        <f t="shared" si="23"/>
        <v>0.73536472784227358</v>
      </c>
      <c r="R215" s="37">
        <f t="shared" si="24"/>
        <v>1.3118908175837143</v>
      </c>
      <c r="S215" s="33">
        <f t="shared" si="13"/>
        <v>2.0472555454259878</v>
      </c>
    </row>
    <row r="216" spans="7:19" ht="13.2" x14ac:dyDescent="0.25"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7">
        <f t="shared" si="23"/>
        <v>0.6203201834364116</v>
      </c>
      <c r="R216" s="37">
        <f t="shared" si="24"/>
        <v>1.2207366473791752</v>
      </c>
      <c r="S216" s="33">
        <f t="shared" si="13"/>
        <v>1.8410568308155868</v>
      </c>
    </row>
    <row r="217" spans="7:19" ht="13.2" x14ac:dyDescent="0.25"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7">
        <f t="shared" si="23"/>
        <v>0.50527563903054817</v>
      </c>
      <c r="R217" s="37">
        <f t="shared" si="24"/>
        <v>1.1295824771746374</v>
      </c>
      <c r="S217" s="33">
        <f t="shared" si="13"/>
        <v>1.6348581162051856</v>
      </c>
    </row>
    <row r="218" spans="7:19" ht="13.2" x14ac:dyDescent="0.25"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7">
        <f t="shared" si="23"/>
        <v>0.39023109462468619</v>
      </c>
      <c r="R218" s="37">
        <f t="shared" si="24"/>
        <v>1.0384283069700995</v>
      </c>
      <c r="S218" s="33">
        <f t="shared" si="13"/>
        <v>1.4286594015947855</v>
      </c>
    </row>
    <row r="219" spans="7:19" ht="13.2" x14ac:dyDescent="0.25"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7">
        <f t="shared" si="23"/>
        <v>0.27518655021882277</v>
      </c>
      <c r="R219" s="37">
        <f t="shared" si="24"/>
        <v>0.9472741367655616</v>
      </c>
      <c r="S219" s="33">
        <f t="shared" si="13"/>
        <v>1.2224606869843844</v>
      </c>
    </row>
    <row r="220" spans="7:19" ht="13.2" x14ac:dyDescent="0.25"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7">
        <f t="shared" si="23"/>
        <v>0.16014200581296079</v>
      </c>
      <c r="R220" s="37">
        <f t="shared" si="24"/>
        <v>0.85611996656102385</v>
      </c>
      <c r="S220" s="33">
        <f t="shared" si="13"/>
        <v>1.0162619723739845</v>
      </c>
    </row>
    <row r="221" spans="7:19" ht="13.2" x14ac:dyDescent="0.25"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7">
        <f t="shared" si="23"/>
        <v>4.5097461407098811E-2</v>
      </c>
      <c r="R221" s="37">
        <f t="shared" si="24"/>
        <v>0.76496579635648598</v>
      </c>
      <c r="S221" s="33">
        <f t="shared" si="13"/>
        <v>0.81006325776358479</v>
      </c>
    </row>
    <row r="222" spans="7:19" ht="13.2" x14ac:dyDescent="0.25"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7">
        <f t="shared" si="24"/>
        <v>0.67381162615194812</v>
      </c>
      <c r="S222" s="33">
        <f t="shared" si="13"/>
        <v>0.67381162615194812</v>
      </c>
    </row>
    <row r="223" spans="7:19" ht="13.2" x14ac:dyDescent="0.25"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7">
        <f t="shared" si="24"/>
        <v>0.58265745594740903</v>
      </c>
      <c r="S223" s="33">
        <f t="shared" si="13"/>
        <v>0.58265745594740903</v>
      </c>
    </row>
    <row r="224" spans="7:19" ht="13.2" x14ac:dyDescent="0.25"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7">
        <f t="shared" si="24"/>
        <v>0.49150328574287117</v>
      </c>
      <c r="S224" s="33">
        <f t="shared" si="13"/>
        <v>0.49150328574287117</v>
      </c>
    </row>
    <row r="225" spans="7:19" ht="13.2" x14ac:dyDescent="0.25"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7">
        <f t="shared" si="24"/>
        <v>0.40034911553833219</v>
      </c>
      <c r="S225" s="33">
        <f t="shared" si="13"/>
        <v>0.40034911553833219</v>
      </c>
    </row>
    <row r="226" spans="7:19" ht="13.2" x14ac:dyDescent="0.25"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7">
        <f t="shared" si="24"/>
        <v>0.30919494533379432</v>
      </c>
      <c r="S226" s="33">
        <f t="shared" si="13"/>
        <v>0.30919494533379432</v>
      </c>
    </row>
    <row r="227" spans="7:19" ht="13.2" x14ac:dyDescent="0.25"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7">
        <f t="shared" si="24"/>
        <v>0.21804077512925529</v>
      </c>
      <c r="S227" s="33">
        <f t="shared" si="13"/>
        <v>0.21804077512925529</v>
      </c>
    </row>
    <row r="228" spans="7:19" ht="13.2" x14ac:dyDescent="0.25"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7">
        <f t="shared" si="24"/>
        <v>0.12688660492471743</v>
      </c>
      <c r="S228" s="33">
        <f t="shared" si="13"/>
        <v>0.12688660492471743</v>
      </c>
    </row>
    <row r="229" spans="7:19" ht="13.2" x14ac:dyDescent="0.25"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7">
        <f t="shared" si="24"/>
        <v>3.5732434720179569E-2</v>
      </c>
      <c r="S229" s="40">
        <f t="shared" si="13"/>
        <v>3.5732434720179569E-2</v>
      </c>
    </row>
  </sheetData>
  <mergeCells count="31">
    <mergeCell ref="A18:A19"/>
    <mergeCell ref="A20:A21"/>
    <mergeCell ref="A22:A23"/>
    <mergeCell ref="A6:A7"/>
    <mergeCell ref="B6:B7"/>
    <mergeCell ref="A8:A9"/>
    <mergeCell ref="B8:B9"/>
    <mergeCell ref="A10:A11"/>
    <mergeCell ref="B10:B11"/>
    <mergeCell ref="B12:B13"/>
    <mergeCell ref="B14:B15"/>
    <mergeCell ref="B16:B17"/>
    <mergeCell ref="B18:B19"/>
    <mergeCell ref="B20:B21"/>
    <mergeCell ref="B22:B23"/>
    <mergeCell ref="A12:A13"/>
    <mergeCell ref="A14:A15"/>
    <mergeCell ref="A16:A17"/>
    <mergeCell ref="A38:C38"/>
    <mergeCell ref="B40:B41"/>
    <mergeCell ref="A48:A49"/>
    <mergeCell ref="A50:A51"/>
    <mergeCell ref="A52:A53"/>
    <mergeCell ref="B52:B53"/>
    <mergeCell ref="A40:A41"/>
    <mergeCell ref="A42:A43"/>
    <mergeCell ref="B42:B43"/>
    <mergeCell ref="A44:A45"/>
    <mergeCell ref="B44:B45"/>
    <mergeCell ref="A46:A47"/>
    <mergeCell ref="B46:B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57"/>
  <sheetViews>
    <sheetView tabSelected="1" workbookViewId="0">
      <selection activeCell="H52" sqref="H52"/>
    </sheetView>
  </sheetViews>
  <sheetFormatPr baseColWidth="10" defaultColWidth="12.6640625" defaultRowHeight="15.75" customHeight="1" x14ac:dyDescent="0.25"/>
  <cols>
    <col min="3" max="3" width="15.44140625" customWidth="1"/>
    <col min="7" max="7" width="15.6640625" customWidth="1"/>
  </cols>
  <sheetData>
    <row r="1" spans="1:11" x14ac:dyDescent="0.25">
      <c r="A1" s="24" t="s">
        <v>120</v>
      </c>
    </row>
    <row r="3" spans="1:11" x14ac:dyDescent="0.25">
      <c r="A3" s="15" t="s">
        <v>121</v>
      </c>
      <c r="B3" s="15">
        <v>10</v>
      </c>
      <c r="C3" s="15">
        <v>20</v>
      </c>
      <c r="D3" s="15">
        <v>30</v>
      </c>
      <c r="E3" s="15">
        <v>40</v>
      </c>
      <c r="F3" s="15">
        <v>50</v>
      </c>
      <c r="G3" s="15">
        <v>60</v>
      </c>
      <c r="H3" s="15"/>
      <c r="I3" s="15"/>
      <c r="J3" s="15"/>
      <c r="K3" s="15"/>
    </row>
    <row r="4" spans="1:11" x14ac:dyDescent="0.25">
      <c r="A4" s="15" t="s">
        <v>122</v>
      </c>
      <c r="B4" s="15">
        <v>2.2000000000000002</v>
      </c>
      <c r="C4" s="15">
        <v>6</v>
      </c>
      <c r="D4" s="15">
        <v>11.1</v>
      </c>
      <c r="E4" s="15">
        <v>4.5999999999999996</v>
      </c>
      <c r="F4" s="15">
        <v>3.3</v>
      </c>
      <c r="G4" s="15">
        <v>1.8</v>
      </c>
      <c r="H4" s="15"/>
      <c r="I4" s="15"/>
      <c r="J4" s="15"/>
      <c r="K4" s="15"/>
    </row>
    <row r="9" spans="1:11" x14ac:dyDescent="0.25">
      <c r="A9" s="71" t="s">
        <v>123</v>
      </c>
      <c r="B9" s="53"/>
    </row>
    <row r="11" spans="1:11" x14ac:dyDescent="0.25">
      <c r="A11" s="70" t="s">
        <v>124</v>
      </c>
      <c r="B11" s="53"/>
      <c r="C11" s="53"/>
    </row>
    <row r="15" spans="1:11" x14ac:dyDescent="0.25">
      <c r="A15" s="15" t="s">
        <v>112</v>
      </c>
      <c r="B15" s="18">
        <f>20/60</f>
        <v>0.33333333333333331</v>
      </c>
    </row>
    <row r="16" spans="1:11" x14ac:dyDescent="0.25">
      <c r="A16" s="15" t="s">
        <v>125</v>
      </c>
      <c r="B16" s="15">
        <v>34</v>
      </c>
      <c r="D16" s="15" t="s">
        <v>126</v>
      </c>
      <c r="E16" s="18">
        <f>B16/(B17*B18*B19)</f>
        <v>1.0051277633352163</v>
      </c>
    </row>
    <row r="17" spans="1:7" x14ac:dyDescent="0.25">
      <c r="A17" s="15" t="s">
        <v>127</v>
      </c>
      <c r="B17" s="15">
        <v>90</v>
      </c>
      <c r="D17" s="15" t="s">
        <v>13</v>
      </c>
      <c r="E17" s="18">
        <f>EXP(10^((0.5786-E16)/0.4312))/(EXP(10^((0.5786-E16)/0.4312))-1)</f>
        <v>10.262134072007242</v>
      </c>
    </row>
    <row r="18" spans="1:7" x14ac:dyDescent="0.25">
      <c r="A18" s="15" t="s">
        <v>128</v>
      </c>
      <c r="B18" s="18">
        <f>IF(B15&lt;=3,0.6208*B15/(B15+0.0137)^0.5639,1.0287*B15/(B15+1.0293)^0.8083)</f>
        <v>0.37585050533698827</v>
      </c>
    </row>
    <row r="19" spans="1:7" x14ac:dyDescent="0.25">
      <c r="A19" s="15" t="s">
        <v>129</v>
      </c>
      <c r="B19" s="15">
        <v>1</v>
      </c>
      <c r="D19" s="24" t="s">
        <v>130</v>
      </c>
    </row>
    <row r="20" spans="1:7" x14ac:dyDescent="0.25">
      <c r="D20" s="15" t="s">
        <v>126</v>
      </c>
      <c r="E20" s="18">
        <f>0.5786-0.4312*LOG10(LN(E17/(E17-1)))</f>
        <v>1.0051277633352163</v>
      </c>
    </row>
    <row r="22" spans="1:7" x14ac:dyDescent="0.25">
      <c r="A22" s="71" t="s">
        <v>131</v>
      </c>
      <c r="B22" s="53"/>
    </row>
    <row r="23" spans="1:7" x14ac:dyDescent="0.25">
      <c r="A23" s="15" t="s">
        <v>79</v>
      </c>
      <c r="B23" s="46">
        <v>69</v>
      </c>
      <c r="C23" s="15" t="s">
        <v>74</v>
      </c>
      <c r="D23" s="15">
        <v>1.2</v>
      </c>
    </row>
    <row r="24" spans="1:7" x14ac:dyDescent="0.25">
      <c r="A24" s="15" t="s">
        <v>132</v>
      </c>
      <c r="B24" s="46">
        <f>25.4*((1000/B23)-10)</f>
        <v>114.11594202898551</v>
      </c>
      <c r="C24" s="15" t="s">
        <v>133</v>
      </c>
      <c r="D24" s="15">
        <v>25.48</v>
      </c>
    </row>
    <row r="25" spans="1:7" x14ac:dyDescent="0.25">
      <c r="A25" s="15" t="s">
        <v>134</v>
      </c>
      <c r="B25" s="46">
        <f>0.2*B24</f>
        <v>22.823188405797104</v>
      </c>
    </row>
    <row r="27" spans="1:7" x14ac:dyDescent="0.25">
      <c r="A27" s="18" t="s">
        <v>135</v>
      </c>
      <c r="B27" s="15" t="s">
        <v>122</v>
      </c>
      <c r="C27" s="15" t="s">
        <v>136</v>
      </c>
      <c r="D27" s="15" t="s">
        <v>137</v>
      </c>
      <c r="E27" s="15" t="s">
        <v>67</v>
      </c>
      <c r="F27" s="15" t="s">
        <v>68</v>
      </c>
      <c r="G27" s="15" t="s">
        <v>69</v>
      </c>
    </row>
    <row r="28" spans="1:7" x14ac:dyDescent="0.25">
      <c r="A28" s="18">
        <f>20/60</f>
        <v>0.33333333333333331</v>
      </c>
      <c r="B28" s="15">
        <v>2.2000000000000002</v>
      </c>
      <c r="C28" s="15">
        <f>B28</f>
        <v>2.2000000000000002</v>
      </c>
      <c r="D28" s="18">
        <f t="shared" ref="D28:D37" si="0">IF(C28&lt;=$B$25,0,(C28-$B$25)^2/(C28+0.8*$B$24))</f>
        <v>0</v>
      </c>
      <c r="E28" s="18">
        <f>D28</f>
        <v>0</v>
      </c>
      <c r="F28" s="18">
        <f t="shared" ref="F28:F37" si="1">IF((B28-E28)&gt;$D$23*$A$28,B28-E28,$D$23*$A$28)</f>
        <v>2.2000000000000002</v>
      </c>
      <c r="G28" s="18">
        <f t="shared" ref="G28:G37" si="2">B28-F28</f>
        <v>0</v>
      </c>
    </row>
    <row r="29" spans="1:7" x14ac:dyDescent="0.25">
      <c r="A29" s="18">
        <f>A28*2</f>
        <v>0.66666666666666663</v>
      </c>
      <c r="B29" s="15">
        <v>6</v>
      </c>
      <c r="C29" s="15">
        <f>SUM(B28:B29)</f>
        <v>8.1999999999999993</v>
      </c>
      <c r="D29" s="18">
        <f t="shared" si="0"/>
        <v>0</v>
      </c>
      <c r="E29" s="18">
        <f t="shared" ref="E29:E37" si="3">D29-D28</f>
        <v>0</v>
      </c>
      <c r="F29" s="18">
        <f t="shared" si="1"/>
        <v>6</v>
      </c>
      <c r="G29" s="18">
        <f t="shared" si="2"/>
        <v>0</v>
      </c>
    </row>
    <row r="30" spans="1:7" x14ac:dyDescent="0.25">
      <c r="A30" s="18">
        <f>A28*3</f>
        <v>1</v>
      </c>
      <c r="B30" s="15">
        <v>11.1</v>
      </c>
      <c r="C30" s="15">
        <f>SUM(B28:B30)</f>
        <v>19.299999999999997</v>
      </c>
      <c r="D30" s="18">
        <f t="shared" si="0"/>
        <v>0</v>
      </c>
      <c r="E30" s="18">
        <f t="shared" si="3"/>
        <v>0</v>
      </c>
      <c r="F30" s="18">
        <f t="shared" si="1"/>
        <v>11.1</v>
      </c>
      <c r="G30" s="18">
        <f t="shared" si="2"/>
        <v>0</v>
      </c>
    </row>
    <row r="31" spans="1:7" x14ac:dyDescent="0.25">
      <c r="A31" s="18">
        <f>A28*4</f>
        <v>1.3333333333333333</v>
      </c>
      <c r="B31" s="15">
        <v>4.5999999999999996</v>
      </c>
      <c r="C31" s="15">
        <f>SUM(B28:B31)</f>
        <v>23.9</v>
      </c>
      <c r="D31" s="18">
        <f t="shared" si="0"/>
        <v>1.0065938810723639E-2</v>
      </c>
      <c r="E31" s="18">
        <f t="shared" si="3"/>
        <v>1.0065938810723639E-2</v>
      </c>
      <c r="F31" s="18">
        <f t="shared" si="1"/>
        <v>4.5899340611892763</v>
      </c>
      <c r="G31" s="18">
        <f t="shared" si="2"/>
        <v>1.0065938810723374E-2</v>
      </c>
    </row>
    <row r="32" spans="1:7" x14ac:dyDescent="0.25">
      <c r="A32" s="18">
        <f>A28*5</f>
        <v>1.6666666666666665</v>
      </c>
      <c r="B32" s="15">
        <v>3.3</v>
      </c>
      <c r="C32" s="15">
        <f>SUM(B28:B32)</f>
        <v>27.2</v>
      </c>
      <c r="D32" s="18">
        <f t="shared" si="0"/>
        <v>0.1616679429365549</v>
      </c>
      <c r="E32" s="18">
        <f t="shared" si="3"/>
        <v>0.15160200412583125</v>
      </c>
      <c r="F32" s="18">
        <f t="shared" si="1"/>
        <v>3.1483979958741686</v>
      </c>
      <c r="G32" s="18">
        <f t="shared" si="2"/>
        <v>0.15160200412583125</v>
      </c>
    </row>
    <row r="33" spans="1:7" x14ac:dyDescent="0.25">
      <c r="A33" s="18">
        <f>A28*6</f>
        <v>2</v>
      </c>
      <c r="B33" s="15">
        <v>1.8</v>
      </c>
      <c r="C33" s="15">
        <f>SUM(B28:B33)</f>
        <v>29</v>
      </c>
      <c r="D33" s="18">
        <f t="shared" si="0"/>
        <v>0.31716791179119447</v>
      </c>
      <c r="E33" s="18">
        <f t="shared" si="3"/>
        <v>0.15549996885463957</v>
      </c>
      <c r="F33" s="18">
        <f t="shared" si="1"/>
        <v>1.6445000311453604</v>
      </c>
      <c r="G33" s="18">
        <f t="shared" si="2"/>
        <v>0.15549996885463968</v>
      </c>
    </row>
    <row r="34" spans="1:7" x14ac:dyDescent="0.25">
      <c r="A34" s="18"/>
      <c r="B34" s="15"/>
      <c r="C34" s="15">
        <f>SUM(B28:B34)</f>
        <v>29</v>
      </c>
      <c r="D34" s="18">
        <f t="shared" si="0"/>
        <v>0.31716791179119447</v>
      </c>
      <c r="E34" s="18">
        <f t="shared" si="3"/>
        <v>0</v>
      </c>
      <c r="F34" s="18">
        <f t="shared" si="1"/>
        <v>0.39999999999999997</v>
      </c>
      <c r="G34" s="18"/>
    </row>
    <row r="35" spans="1:7" x14ac:dyDescent="0.25">
      <c r="A35" s="18"/>
      <c r="B35" s="15"/>
      <c r="C35" s="15">
        <f>SUM(B28:B35)</f>
        <v>29</v>
      </c>
      <c r="D35" s="18">
        <f t="shared" si="0"/>
        <v>0.31716791179119447</v>
      </c>
      <c r="E35" s="18">
        <f t="shared" si="3"/>
        <v>0</v>
      </c>
      <c r="F35" s="18">
        <f t="shared" si="1"/>
        <v>0.39999999999999997</v>
      </c>
      <c r="G35" s="18"/>
    </row>
    <row r="36" spans="1:7" x14ac:dyDescent="0.25">
      <c r="A36" s="18"/>
      <c r="B36" s="15"/>
      <c r="C36" s="15">
        <f>SUM(B28:B36)</f>
        <v>29</v>
      </c>
      <c r="D36" s="18">
        <f t="shared" si="0"/>
        <v>0.31716791179119447</v>
      </c>
      <c r="E36" s="18">
        <f t="shared" si="3"/>
        <v>0</v>
      </c>
      <c r="F36" s="18">
        <f t="shared" si="1"/>
        <v>0.39999999999999997</v>
      </c>
      <c r="G36" s="18"/>
    </row>
    <row r="37" spans="1:7" x14ac:dyDescent="0.25">
      <c r="A37" s="18"/>
      <c r="B37" s="15"/>
      <c r="C37" s="15">
        <f>SUM(B28:B37)</f>
        <v>29</v>
      </c>
      <c r="D37" s="18">
        <f t="shared" si="0"/>
        <v>0.31716791179119447</v>
      </c>
      <c r="E37" s="18">
        <f t="shared" si="3"/>
        <v>0</v>
      </c>
      <c r="F37" s="15">
        <f t="shared" si="1"/>
        <v>0.39999999999999997</v>
      </c>
      <c r="G37" s="15"/>
    </row>
    <row r="38" spans="1:7" x14ac:dyDescent="0.25">
      <c r="G38" s="21">
        <f>SUM(G28:G37)</f>
        <v>0.3171679117911943</v>
      </c>
    </row>
    <row r="39" spans="1:7" x14ac:dyDescent="0.25">
      <c r="F39" s="15" t="s">
        <v>138</v>
      </c>
      <c r="G39" s="46">
        <f>(G38/1000)*(D24*1000000)</f>
        <v>8081.4383924396307</v>
      </c>
    </row>
    <row r="40" spans="1:7" x14ac:dyDescent="0.25">
      <c r="A40" s="71" t="s">
        <v>139</v>
      </c>
      <c r="B40" s="53"/>
    </row>
    <row r="42" spans="1:7" x14ac:dyDescent="0.25">
      <c r="A42" s="15" t="s">
        <v>140</v>
      </c>
      <c r="B42" s="18">
        <f>G38</f>
        <v>0.3171679117911943</v>
      </c>
    </row>
    <row r="43" spans="1:7" x14ac:dyDescent="0.25">
      <c r="A43" s="15" t="s">
        <v>141</v>
      </c>
      <c r="B43" s="15">
        <f>SUM(B28:B37)</f>
        <v>29</v>
      </c>
    </row>
    <row r="45" spans="1:7" x14ac:dyDescent="0.25">
      <c r="A45" s="15" t="s">
        <v>142</v>
      </c>
      <c r="B45" s="18">
        <f>B42/B43</f>
        <v>1.0936824544523941E-2</v>
      </c>
    </row>
    <row r="47" spans="1:7" x14ac:dyDescent="0.25">
      <c r="A47" s="71" t="s">
        <v>143</v>
      </c>
      <c r="B47" s="53"/>
      <c r="C47" s="53"/>
    </row>
    <row r="49" spans="1:8" x14ac:dyDescent="0.25">
      <c r="A49" s="24" t="s">
        <v>144</v>
      </c>
      <c r="B49" s="47">
        <f>B25</f>
        <v>22.823188405797104</v>
      </c>
    </row>
    <row r="51" spans="1:8" x14ac:dyDescent="0.25">
      <c r="A51" s="24" t="s">
        <v>145</v>
      </c>
      <c r="B51" s="24" t="s">
        <v>146</v>
      </c>
      <c r="C51" s="24" t="s">
        <v>147</v>
      </c>
    </row>
    <row r="52" spans="1:8" x14ac:dyDescent="0.25">
      <c r="B52" s="24" t="s">
        <v>146</v>
      </c>
      <c r="C52" s="24" t="s">
        <v>148</v>
      </c>
      <c r="D52" s="70" t="s">
        <v>149</v>
      </c>
      <c r="E52" s="53"/>
      <c r="G52" s="24" t="s">
        <v>150</v>
      </c>
      <c r="H52" s="24">
        <f>((14.3-2)/0.75)+20</f>
        <v>36.400000000000006</v>
      </c>
    </row>
    <row r="55" spans="1:8" x14ac:dyDescent="0.25">
      <c r="A55" s="71" t="s">
        <v>151</v>
      </c>
      <c r="B55" s="53"/>
      <c r="C55" s="53"/>
    </row>
    <row r="56" spans="1:8" x14ac:dyDescent="0.25">
      <c r="A56" s="24" t="s">
        <v>152</v>
      </c>
      <c r="B56" s="24">
        <v>78</v>
      </c>
      <c r="C56" s="24" t="s">
        <v>153</v>
      </c>
      <c r="D56" s="47">
        <f t="shared" ref="D56:D57" si="4">25.4*((1000/B56)-10)</f>
        <v>71.641025641025649</v>
      </c>
      <c r="E56" s="24" t="s">
        <v>154</v>
      </c>
      <c r="F56" s="47">
        <f t="shared" ref="F56:F57" si="5">0.2*D56</f>
        <v>14.328205128205131</v>
      </c>
      <c r="G56" s="24" t="s">
        <v>155</v>
      </c>
      <c r="H56" s="47">
        <f>((F56-2)/0.75)+20</f>
        <v>36.437606837606836</v>
      </c>
    </row>
    <row r="57" spans="1:8" x14ac:dyDescent="0.25">
      <c r="A57" s="24" t="s">
        <v>156</v>
      </c>
      <c r="B57" s="47">
        <f>(4.2*B56)/(10-0.058*B56)</f>
        <v>59.824689554419287</v>
      </c>
      <c r="C57" s="24" t="s">
        <v>157</v>
      </c>
      <c r="D57" s="47">
        <f t="shared" si="4"/>
        <v>170.57387057387058</v>
      </c>
      <c r="E57" s="24" t="s">
        <v>158</v>
      </c>
      <c r="F57" s="47">
        <f t="shared" si="5"/>
        <v>34.114774114774114</v>
      </c>
      <c r="G57" s="24" t="s">
        <v>159</v>
      </c>
      <c r="H57" s="47">
        <f>((F57-17)/1.05)+40</f>
        <v>56.29978487121344</v>
      </c>
    </row>
  </sheetData>
  <mergeCells count="7">
    <mergeCell ref="D52:E52"/>
    <mergeCell ref="A55:C55"/>
    <mergeCell ref="A9:B9"/>
    <mergeCell ref="A11:C11"/>
    <mergeCell ref="A22:B22"/>
    <mergeCell ref="A40:B40"/>
    <mergeCell ref="A47:C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método racional</vt:lpstr>
      <vt:lpstr>NRCS - Gande</vt:lpstr>
      <vt:lpstr>NRCS - Chica</vt:lpstr>
      <vt:lpstr>5.2 Racional</vt:lpstr>
      <vt:lpstr>5.2 NRCS</vt:lpstr>
      <vt:lpstr>EJ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 Suárez</dc:creator>
  <cp:lastModifiedBy>Ignacio Suarez</cp:lastModifiedBy>
  <dcterms:created xsi:type="dcterms:W3CDTF">2025-12-14T23:35:13Z</dcterms:created>
  <dcterms:modified xsi:type="dcterms:W3CDTF">2025-12-15T20:22:20Z</dcterms:modified>
</cp:coreProperties>
</file>