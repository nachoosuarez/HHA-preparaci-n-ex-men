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60" windowWidth="23256" windowHeight="12456" tabRatio="600" firstSheet="0" activeTab="0" autoFilterDateGrouping="1"/>
  </bookViews>
  <sheets>
    <sheet name="método racional" sheetId="1" state="visible" r:id="rId1"/>
    <sheet name="NRCS - Gan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"/>
    <numFmt numFmtId="167" formatCode="#,##0.0"/>
  </numFmts>
  <fonts count="11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  <font>
      <name val="Arial"/>
      <family val="2"/>
      <b val="1"/>
      <color rgb="FFFFFFFF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6"/>
    </font>
  </fonts>
  <fills count="11">
    <fill>
      <patternFill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2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5" borderId="0" pivotButton="0" quotePrefix="0" xfId="0"/>
    <xf numFmtId="2" fontId="2" fillId="2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2" fillId="0" borderId="0" pivotButton="0" quotePrefix="0" xfId="0"/>
    <xf numFmtId="0" fontId="2" fillId="0" borderId="2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4" fontId="2" fillId="8" borderId="2" applyAlignment="1" pivotButton="0" quotePrefix="0" xfId="0">
      <alignment horizontal="center"/>
    </xf>
    <xf numFmtId="4" fontId="2" fillId="0" borderId="2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pivotButton="0" quotePrefix="0" xfId="0"/>
    <xf numFmtId="4" fontId="7" fillId="7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4" fontId="2" fillId="0" borderId="4" applyAlignment="1" pivotButton="0" quotePrefix="0" xfId="0">
      <alignment horizontal="center"/>
    </xf>
    <xf numFmtId="4" fontId="2" fillId="9" borderId="1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/>
    </xf>
    <xf numFmtId="2" fontId="2" fillId="9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4" fontId="2" fillId="8" borderId="1" applyAlignment="1" pivotButton="0" quotePrefix="0" xfId="0">
      <alignment horizontal="center"/>
    </xf>
    <xf numFmtId="4" fontId="2" fillId="0" borderId="3" applyAlignment="1" pivotButton="0" quotePrefix="0" xfId="0">
      <alignment horizontal="center"/>
    </xf>
    <xf numFmtId="2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2" fillId="3" borderId="0" pivotButton="0" quotePrefix="0" xfId="0"/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66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4" pivotButton="0" quotePrefix="0" xfId="0"/>
    <xf numFmtId="0" fontId="3" fillId="0" borderId="3" pivotButton="0" quotePrefix="0" xfId="0"/>
    <xf numFmtId="4" fontId="2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5" applyAlignment="1" pivotButton="0" quotePrefix="0" xfId="0">
      <alignment horizontal="center" vertical="top"/>
    </xf>
    <xf numFmtId="0" fontId="3" fillId="0" borderId="6" pivotButton="0" quotePrefix="0" xfId="0"/>
    <xf numFmtId="0" fontId="3" fillId="0" borderId="7" pivotButton="0" quotePrefix="0" xfId="0"/>
    <xf numFmtId="0" fontId="6" fillId="0" borderId="5" applyAlignment="1" pivotButton="0" quotePrefix="0" xfId="0">
      <alignment horizontal="left" vertical="top"/>
    </xf>
    <xf numFmtId="0" fontId="2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2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/>
    </xf>
    <xf numFmtId="0" fontId="8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5" fontId="2" fillId="0" borderId="2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/>
    </xf>
    <xf numFmtId="0" fontId="2" fillId="0" borderId="0" pivotButton="0" quotePrefix="0" xfId="0"/>
    <xf numFmtId="0" fontId="7" fillId="1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b="0">
                <a:solidFill>
                  <a:schemeClr val="dk1"/>
                </a:solidFill>
                <a:latin typeface="Arial black"/>
              </a:rPr>
              <a:t>Tormenta de Diseño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solidFill>
              <a:srgbClr val="4285F4"/>
            </a:solidFill>
            <a:ln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 lvl="0">
                  <a:defRPr/>
                </a:pPr>
                <a:r>
                  <a:t>None</a:t>
                </a:r>
                <a:endParaRPr lang="es-419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'NRCS - Gande'!$H$19</f>
              <numCache>
                <formatCode>General</formatCode>
                <ptCount val="1"/>
              </numCache>
            </numRef>
          </cat>
          <val>
            <numRef>
              <f>'NRCS - Gande'!$N$6:$N$17</f>
              <numCache>
                <formatCode>0.000</formatCode>
                <ptCount val="12"/>
                <pt idx="0">
                  <v>3.120353492313086</v>
                </pt>
                <pt idx="1">
                  <v>3.573446133267083</v>
                </pt>
                <pt idx="2">
                  <v>4.08762155059982</v>
                </pt>
                <pt idx="3">
                  <v>4.879009354175878</v>
                </pt>
                <pt idx="4">
                  <v>6.326930312482745</v>
                </pt>
                <pt idx="5">
                  <v>10.46364730429715</v>
                </pt>
                <pt idx="6">
                  <v>25.78831806080853</v>
                </pt>
                <pt idx="7">
                  <v>7.697778720238901</v>
                </pt>
                <pt idx="8">
                  <v>5.473709804095002</v>
                </pt>
                <pt idx="9">
                  <v>4.434964788884187</v>
                </pt>
                <pt idx="10">
                  <v>3.806628469465366</v>
                </pt>
                <pt idx="11">
                  <v>3.37603458853242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41554570"/>
        <axId val="710005718"/>
      </barChart>
      <catAx>
        <axId val="184155457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t>None</a:t>
                </a:r>
                <a:endParaRPr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710005718"/>
        <crosses val="autoZero"/>
        <auto val="1"/>
        <lblAlgn val="ctr"/>
        <lblOffset val="100"/>
        <noMultiLvlLbl val="1"/>
      </catAx>
      <valAx>
        <axId val="71000571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Precipitación (mm/h)</a:t>
                </a:r>
              </a:p>
            </rich>
          </tx>
          <overlay val="0"/>
        </title>
        <numFmt formatCode="0.000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1841554570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s-419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Caudal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'NRCS - Gande'!$S$41</f>
              <strCache>
                <ptCount val="1"/>
                <pt idx="0">
                  <v>0.00</v>
                </pt>
              </strCache>
            </strRef>
          </tx>
          <spPr>
            <a:ln cmpd="sng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'NRCS - Gande'!$E$42:$E$229</f>
              <numCache>
                <formatCode>#,##0.00</formatCode>
                <ptCount val="188"/>
                <pt idx="0">
                  <v>0.032505688259241</v>
                </pt>
                <pt idx="1">
                  <v>0.065011376518482</v>
                </pt>
                <pt idx="2">
                  <v>0.09751706477772301</v>
                </pt>
                <pt idx="3">
                  <v>0.130022753036964</v>
                </pt>
                <pt idx="4">
                  <v>0.162528441296205</v>
                </pt>
                <pt idx="5">
                  <v>0.195034129555446</v>
                </pt>
                <pt idx="6">
                  <v>0.227539817814687</v>
                </pt>
                <pt idx="7">
                  <v>0.260045506073928</v>
                </pt>
                <pt idx="8">
                  <v>0.292551194333169</v>
                </pt>
                <pt idx="9">
                  <v>0.32505688259241</v>
                </pt>
                <pt idx="10">
                  <v>0.357562570851651</v>
                </pt>
                <pt idx="11">
                  <v>0.390068259110892</v>
                </pt>
                <pt idx="12">
                  <v>0.422573947370133</v>
                </pt>
                <pt idx="13">
                  <v>0.455079635629374</v>
                </pt>
                <pt idx="14">
                  <v>0.487585323888615</v>
                </pt>
                <pt idx="15">
                  <v>0.520091012147856</v>
                </pt>
                <pt idx="16">
                  <v>0.5525967004070971</v>
                </pt>
                <pt idx="17">
                  <v>0.585102388666338</v>
                </pt>
                <pt idx="18">
                  <v>0.6176080769255791</v>
                </pt>
                <pt idx="19">
                  <v>0.65011376518482</v>
                </pt>
                <pt idx="20">
                  <v>0.6826194534440611</v>
                </pt>
                <pt idx="21">
                  <v>0.715125141703302</v>
                </pt>
                <pt idx="22">
                  <v>0.747630829962543</v>
                </pt>
                <pt idx="23">
                  <v>0.7801365182217841</v>
                </pt>
                <pt idx="24">
                  <v>0.812642206481025</v>
                </pt>
                <pt idx="25">
                  <v>0.8451478947402661</v>
                </pt>
                <pt idx="26">
                  <v>0.877653582999507</v>
                </pt>
                <pt idx="27">
                  <v>0.9101592712587481</v>
                </pt>
                <pt idx="28">
                  <v>0.942664959517989</v>
                </pt>
                <pt idx="29">
                  <v>0.9751706477772301</v>
                </pt>
                <pt idx="30">
                  <v>1.007676336036471</v>
                </pt>
                <pt idx="31">
                  <v>1.040182024295712</v>
                </pt>
                <pt idx="32">
                  <v>1.072687712554953</v>
                </pt>
                <pt idx="33">
                  <v>1.105193400814194</v>
                </pt>
                <pt idx="34">
                  <v>1.137699089073435</v>
                </pt>
                <pt idx="35">
                  <v>1.170204777332676</v>
                </pt>
                <pt idx="36">
                  <v>1.202710465591917</v>
                </pt>
                <pt idx="37">
                  <v>1.235216153851158</v>
                </pt>
                <pt idx="38">
                  <v>1.267721842110399</v>
                </pt>
                <pt idx="39">
                  <v>1.30022753036964</v>
                </pt>
                <pt idx="40">
                  <v>1.332733218628881</v>
                </pt>
                <pt idx="41">
                  <v>1.365238906888122</v>
                </pt>
                <pt idx="42">
                  <v>1.397744595147363</v>
                </pt>
                <pt idx="43">
                  <v>1.430250283406604</v>
                </pt>
                <pt idx="44">
                  <v>1.462755971665845</v>
                </pt>
                <pt idx="45">
                  <v>1.495261659925086</v>
                </pt>
                <pt idx="46">
                  <v>1.527767348184327</v>
                </pt>
                <pt idx="47">
                  <v>1.560273036443568</v>
                </pt>
                <pt idx="48">
                  <v>1.592778724702809</v>
                </pt>
                <pt idx="49">
                  <v>1.62528441296205</v>
                </pt>
                <pt idx="50">
                  <v>1.657790101221291</v>
                </pt>
                <pt idx="51">
                  <v>1.690295789480532</v>
                </pt>
                <pt idx="52">
                  <v>1.722801477739773</v>
                </pt>
                <pt idx="53">
                  <v>1.755307165999014</v>
                </pt>
                <pt idx="54">
                  <v>1.787812854258255</v>
                </pt>
                <pt idx="55">
                  <v>1.820318542517496</v>
                </pt>
                <pt idx="56">
                  <v>1.852824230776737</v>
                </pt>
                <pt idx="57">
                  <v>1.885329919035978</v>
                </pt>
                <pt idx="58">
                  <v>1.917835607295219</v>
                </pt>
                <pt idx="59">
                  <v>1.95034129555446</v>
                </pt>
                <pt idx="60">
                  <v>1.982846983813701</v>
                </pt>
                <pt idx="61">
                  <v>2.015352672072942</v>
                </pt>
                <pt idx="62">
                  <v>2.047858360332183</v>
                </pt>
                <pt idx="63">
                  <v>2.080364048591424</v>
                </pt>
                <pt idx="64">
                  <v>2.112869736850665</v>
                </pt>
                <pt idx="65">
                  <v>2.145375425109906</v>
                </pt>
                <pt idx="66">
                  <v>2.177881113369147</v>
                </pt>
                <pt idx="67">
                  <v>2.210386801628388</v>
                </pt>
                <pt idx="68">
                  <v>2.242892489887629</v>
                </pt>
                <pt idx="69">
                  <v>2.27539817814687</v>
                </pt>
                <pt idx="70">
                  <v>2.307903866406111</v>
                </pt>
                <pt idx="71">
                  <v>2.340409554665352</v>
                </pt>
                <pt idx="72">
                  <v>2.372915242924593</v>
                </pt>
                <pt idx="73">
                  <v>2.405420931183834</v>
                </pt>
                <pt idx="74">
                  <v>2.437926619443075</v>
                </pt>
                <pt idx="75">
                  <v>2.470432307702316</v>
                </pt>
                <pt idx="76">
                  <v>2.502937995961557</v>
                </pt>
                <pt idx="77">
                  <v>2.535443684220798</v>
                </pt>
                <pt idx="78">
                  <v>2.567949372480039</v>
                </pt>
                <pt idx="79">
                  <v>2.60045506073928</v>
                </pt>
                <pt idx="80">
                  <v>2.632960748998521</v>
                </pt>
                <pt idx="81">
                  <v>2.665466437257762</v>
                </pt>
                <pt idx="82">
                  <v>2.697972125517003</v>
                </pt>
                <pt idx="83">
                  <v>2.730477813776244</v>
                </pt>
                <pt idx="84">
                  <v>2.762983502035485</v>
                </pt>
                <pt idx="85">
                  <v>2.795489190294726</v>
                </pt>
                <pt idx="86">
                  <v>2.827994878553967</v>
                </pt>
                <pt idx="87">
                  <v>2.860500566813208</v>
                </pt>
                <pt idx="88">
                  <v>2.893006255072449</v>
                </pt>
                <pt idx="89">
                  <v>2.92551194333169</v>
                </pt>
                <pt idx="90">
                  <v>2.958017631590931</v>
                </pt>
                <pt idx="91">
                  <v>2.990523319850172</v>
                </pt>
                <pt idx="92">
                  <v>3.023029008109413</v>
                </pt>
                <pt idx="93">
                  <v>3.055534696368654</v>
                </pt>
                <pt idx="94">
                  <v>3.088040384627895</v>
                </pt>
                <pt idx="95">
                  <v>3.120546072887136</v>
                </pt>
                <pt idx="96">
                  <v>3.153051761146377</v>
                </pt>
                <pt idx="97">
                  <v>3.185557449405618</v>
                </pt>
                <pt idx="98">
                  <v>3.218063137664859</v>
                </pt>
                <pt idx="99">
                  <v>3.2505688259241</v>
                </pt>
                <pt idx="100">
                  <v>3.283074514183341</v>
                </pt>
                <pt idx="101">
                  <v>3.315580202442582</v>
                </pt>
                <pt idx="102">
                  <v>3.348085890701823</v>
                </pt>
                <pt idx="103">
                  <v>3.380591578961064</v>
                </pt>
                <pt idx="104">
                  <v>3.413097267220305</v>
                </pt>
                <pt idx="105">
                  <v>3.445602955479546</v>
                </pt>
                <pt idx="106">
                  <v>3.478108643738787</v>
                </pt>
                <pt idx="107">
                  <v>3.510614331998028</v>
                </pt>
                <pt idx="108">
                  <v>3.543120020257269</v>
                </pt>
                <pt idx="109">
                  <v>3.57562570851651</v>
                </pt>
                <pt idx="110">
                  <v>3.608131396775751</v>
                </pt>
                <pt idx="111">
                  <v>3.640637085034992</v>
                </pt>
                <pt idx="112">
                  <v>3.673142773294233</v>
                </pt>
                <pt idx="113">
                  <v>3.705648461553474</v>
                </pt>
                <pt idx="114">
                  <v>3.738154149812715</v>
                </pt>
                <pt idx="115">
                  <v>3.770659838071956</v>
                </pt>
                <pt idx="116">
                  <v>3.803165526331197</v>
                </pt>
                <pt idx="117">
                  <v>3.835671214590438</v>
                </pt>
                <pt idx="118">
                  <v>3.868176902849679</v>
                </pt>
                <pt idx="119">
                  <v>3.90068259110892</v>
                </pt>
                <pt idx="120">
                  <v>3.933188279368161</v>
                </pt>
                <pt idx="121">
                  <v>3.965693967627402</v>
                </pt>
                <pt idx="122">
                  <v>3.998199655886643</v>
                </pt>
                <pt idx="123">
                  <v>4.030705344145884</v>
                </pt>
                <pt idx="124">
                  <v>4.063211032405126</v>
                </pt>
                <pt idx="125">
                  <v>4.095716720664366</v>
                </pt>
                <pt idx="126">
                  <v>4.128222408923607</v>
                </pt>
                <pt idx="127">
                  <v>4.160728097182848</v>
                </pt>
                <pt idx="128">
                  <v>4.193233785442089</v>
                </pt>
                <pt idx="129">
                  <v>4.225739473701331</v>
                </pt>
                <pt idx="130">
                  <v>4.258245161960571</v>
                </pt>
                <pt idx="131">
                  <v>4.290750850219812</v>
                </pt>
                <pt idx="132">
                  <v>4.323256538479053</v>
                </pt>
                <pt idx="133">
                  <v>4.355762226738294</v>
                </pt>
                <pt idx="134">
                  <v>4.388267914997535</v>
                </pt>
                <pt idx="135">
                  <v>4.420773603256777</v>
                </pt>
                <pt idx="136">
                  <v>4.453279291516017</v>
                </pt>
                <pt idx="137">
                  <v>4.485784979775258</v>
                </pt>
                <pt idx="138">
                  <v>4.518290668034499</v>
                </pt>
                <pt idx="139">
                  <v>4.55079635629374</v>
                </pt>
                <pt idx="140">
                  <v>4.583302044552982</v>
                </pt>
                <pt idx="141">
                  <v>4.615807732812222</v>
                </pt>
                <pt idx="142">
                  <v>4.648313421071463</v>
                </pt>
                <pt idx="143">
                  <v>4.680819109330704</v>
                </pt>
                <pt idx="144">
                  <v>4.713324797589945</v>
                </pt>
                <pt idx="145">
                  <v>4.745830485849186</v>
                </pt>
                <pt idx="146">
                  <v>4.778336174108428</v>
                </pt>
                <pt idx="147">
                  <v>4.810841862367668</v>
                </pt>
                <pt idx="148">
                  <v>4.843347550626909</v>
                </pt>
                <pt idx="149">
                  <v>4.87585323888615</v>
                </pt>
                <pt idx="150">
                  <v>4.908358927145391</v>
                </pt>
                <pt idx="151">
                  <v>4.940864615404633</v>
                </pt>
                <pt idx="152">
                  <v>4.973370303663874</v>
                </pt>
                <pt idx="153">
                  <v>5.005875991923114</v>
                </pt>
                <pt idx="154">
                  <v>5.038381680182355</v>
                </pt>
                <pt idx="155">
                  <v>5.070887368441596</v>
                </pt>
                <pt idx="156">
                  <v>5.103393056700837</v>
                </pt>
                <pt idx="157">
                  <v>5.135898744960079</v>
                </pt>
                <pt idx="158">
                  <v>5.168404433219319</v>
                </pt>
                <pt idx="159">
                  <v>5.20091012147856</v>
                </pt>
                <pt idx="160">
                  <v>5.233415809737801</v>
                </pt>
                <pt idx="161">
                  <v>5.265921497997042</v>
                </pt>
                <pt idx="162">
                  <v>5.298427186256284</v>
                </pt>
                <pt idx="163">
                  <v>5.330932874515525</v>
                </pt>
                <pt idx="164">
                  <v>5.363438562774765</v>
                </pt>
                <pt idx="165">
                  <v>5.395944251034006</v>
                </pt>
                <pt idx="166">
                  <v>5.428449939293247</v>
                </pt>
                <pt idx="167">
                  <v>5.460955627552488</v>
                </pt>
                <pt idx="168">
                  <v>5.49346131581173</v>
                </pt>
                <pt idx="169">
                  <v>5.52596700407097</v>
                </pt>
                <pt idx="170">
                  <v>5.558472692330211</v>
                </pt>
                <pt idx="171">
                  <v>5.590978380589452</v>
                </pt>
                <pt idx="172">
                  <v>5.623484068848693</v>
                </pt>
                <pt idx="173">
                  <v>5.655989757107935</v>
                </pt>
                <pt idx="174">
                  <v>5.688495445367176</v>
                </pt>
                <pt idx="175">
                  <v>5.721001133626416</v>
                </pt>
                <pt idx="176">
                  <v>5.753506821885657</v>
                </pt>
                <pt idx="177">
                  <v>5.786012510144898</v>
                </pt>
                <pt idx="178">
                  <v>5.818518198404139</v>
                </pt>
                <pt idx="179">
                  <v>5.851023886663381</v>
                </pt>
                <pt idx="180">
                  <v>5.883529574922621</v>
                </pt>
                <pt idx="181">
                  <v>5.916035263181862</v>
                </pt>
                <pt idx="182">
                  <v>5.948540951441103</v>
                </pt>
                <pt idx="183">
                  <v>5.981046639700344</v>
                </pt>
                <pt idx="184">
                  <v>6.013552327959585</v>
                </pt>
                <pt idx="185">
                  <v>6.046058016218827</v>
                </pt>
                <pt idx="186">
                  <v>6.078563704478067</v>
                </pt>
                <pt idx="187">
                  <v>6.111069392737308</v>
                </pt>
              </numCache>
            </numRef>
          </cat>
          <val>
            <numRef>
              <f>'NRCS - Gande'!$S$42:$S$229</f>
              <numCache>
                <formatCode>#,##0.00</formatCode>
                <ptCount val="18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0.002804913213458888</v>
                </pt>
                <pt idx="25">
                  <v>0.005609826426917775</v>
                </pt>
                <pt idx="26">
                  <v>0.008414739640376664</v>
                </pt>
                <pt idx="27">
                  <v>0.01121965285383555</v>
                </pt>
                <pt idx="28">
                  <v>0.01402456606729444</v>
                </pt>
                <pt idx="29">
                  <v>0.01682947928075333</v>
                </pt>
                <pt idx="30">
                  <v>0.01963439249421222</v>
                </pt>
                <pt idx="31">
                  <v>0.0224393057076711</v>
                </pt>
                <pt idx="32">
                  <v>0.107752326589138</v>
                </pt>
                <pt idx="33">
                  <v>0.1930653474706048</v>
                </pt>
                <pt idx="34">
                  <v>0.2783783683520717</v>
                </pt>
                <pt idx="35">
                  <v>0.3636913892335386</v>
                </pt>
                <pt idx="36">
                  <v>0.4490044101150055</v>
                </pt>
                <pt idx="37">
                  <v>0.5343174309964723</v>
                </pt>
                <pt idx="38">
                  <v>0.6196304518779392</v>
                </pt>
                <pt idx="39">
                  <v>0.7049434727594061</v>
                </pt>
                <pt idx="40">
                  <v>1.126909099386429</v>
                </pt>
                <pt idx="41">
                  <v>1.548874726013451</v>
                </pt>
                <pt idx="42">
                  <v>1.970840352640473</v>
                </pt>
                <pt idx="43">
                  <v>2.392805979267496</v>
                </pt>
                <pt idx="44">
                  <v>2.814771605894518</v>
                </pt>
                <pt idx="45">
                  <v>3.236737232521541</v>
                </pt>
                <pt idx="46">
                  <v>3.658702859148563</v>
                </pt>
                <pt idx="47">
                  <v>4.080668485775585</v>
                </pt>
                <pt idx="48">
                  <v>6.00508349166576</v>
                </pt>
                <pt idx="49">
                  <v>7.929498497555933</v>
                </pt>
                <pt idx="50">
                  <v>9.853913503446105</v>
                </pt>
                <pt idx="51">
                  <v>11.77832850933628</v>
                </pt>
                <pt idx="52">
                  <v>13.70274351522645</v>
                </pt>
                <pt idx="53">
                  <v>15.62715852111663</v>
                </pt>
                <pt idx="54">
                  <v>17.5515735270068</v>
                </pt>
                <pt idx="55">
                  <v>19.47598853289697</v>
                </pt>
                <pt idx="56">
                  <v>21.96823069739251</v>
                </pt>
                <pt idx="57">
                  <v>24.46047286188805</v>
                </pt>
                <pt idx="58">
                  <v>26.95271502638359</v>
                </pt>
                <pt idx="59">
                  <v>29.44495719087913</v>
                </pt>
                <pt idx="60">
                  <v>31.93719935537467</v>
                </pt>
                <pt idx="61">
                  <v>34.42764771908459</v>
                </pt>
                <pt idx="62">
                  <v>36.9154053816161</v>
                </pt>
                <pt idx="63">
                  <v>39.40316304414761</v>
                </pt>
                <pt idx="64">
                  <v>42.31796723513873</v>
                </pt>
                <pt idx="65">
                  <v>45.23277142612986</v>
                </pt>
                <pt idx="66">
                  <v>48.14757561712097</v>
                </pt>
                <pt idx="67">
                  <v>51.06237980811211</v>
                </pt>
                <pt idx="68">
                  <v>53.97718399910323</v>
                </pt>
                <pt idx="69">
                  <v>56.83922252602882</v>
                </pt>
                <pt idx="70">
                  <v>59.62211255685613</v>
                </pt>
                <pt idx="71">
                  <v>62.40500258768342</v>
                </pt>
                <pt idx="72">
                  <v>65.54621100090664</v>
                </pt>
                <pt idx="73">
                  <v>68.68741941412985</v>
                </pt>
                <pt idx="74">
                  <v>71.82862782735305</v>
                </pt>
                <pt idx="75">
                  <v>74.96983624057627</v>
                </pt>
                <pt idx="76">
                  <v>78.11104465379948</v>
                </pt>
                <pt idx="77">
                  <v>81.03695667005486</v>
                </pt>
                <pt idx="78">
                  <v>83.63992409085854</v>
                </pt>
                <pt idx="79">
                  <v>86.24289151166221</v>
                </pt>
                <pt idx="80">
                  <v>89.1613213263259</v>
                </pt>
                <pt idx="81">
                  <v>92.0797511409896</v>
                </pt>
                <pt idx="82">
                  <v>94.9981809556533</v>
                </pt>
                <pt idx="83">
                  <v>97.91661077031701</v>
                </pt>
                <pt idx="84">
                  <v>100.8350405849807</v>
                </pt>
                <pt idx="85">
                  <v>102.7926225331455</v>
                </pt>
                <pt idx="86">
                  <v>103.3089326815622</v>
                </pt>
                <pt idx="87">
                  <v>103.8252428299788</v>
                </pt>
                <pt idx="88">
                  <v>104.626938877243</v>
                </pt>
                <pt idx="89">
                  <v>105.4286349245072</v>
                </pt>
                <pt idx="90">
                  <v>106.2303309717714</v>
                </pt>
                <pt idx="91">
                  <v>107.0320270190356</v>
                </pt>
                <pt idx="92">
                  <v>107.8337230662998</v>
                </pt>
                <pt idx="93">
                  <v>108.2722817450667</v>
                </pt>
                <pt idx="94">
                  <v>108.1661343710876</v>
                </pt>
                <pt idx="95">
                  <v>108.0599869971085</v>
                </pt>
                <pt idx="96">
                  <v>107.9538396231294</v>
                </pt>
                <pt idx="97">
                  <v>107.8476922491503</v>
                </pt>
                <pt idx="98">
                  <v>107.7415448751712</v>
                </pt>
                <pt idx="99">
                  <v>107.6353975011921</v>
                </pt>
                <pt idx="100">
                  <v>107.529250127213</v>
                </pt>
                <pt idx="101">
                  <v>107.149997548207</v>
                </pt>
                <pt idx="102">
                  <v>106.3610871616607</v>
                </pt>
                <pt idx="103">
                  <v>105.5721767751145</v>
                </pt>
                <pt idx="104">
                  <v>104.7832663885682</v>
                </pt>
                <pt idx="105">
                  <v>103.9943560020219</v>
                </pt>
                <pt idx="106">
                  <v>103.2054456154756</v>
                </pt>
                <pt idx="107">
                  <v>102.4165352289294</v>
                </pt>
                <pt idx="108">
                  <v>101.6276248423831</v>
                </pt>
                <pt idx="109">
                  <v>100.6095623406279</v>
                </pt>
                <pt idx="110">
                  <v>99.24777166605946</v>
                </pt>
                <pt idx="111">
                  <v>97.88598099149098</v>
                </pt>
                <pt idx="112">
                  <v>96.5241903169225</v>
                </pt>
                <pt idx="113">
                  <v>95.16239964235403</v>
                </pt>
                <pt idx="114">
                  <v>93.80060896778556</v>
                </pt>
                <pt idx="115">
                  <v>92.43881829321708</v>
                </pt>
                <pt idx="116">
                  <v>91.07702761864861</v>
                </pt>
                <pt idx="117">
                  <v>89.51349213171935</v>
                </pt>
                <pt idx="118">
                  <v>87.64733942624892</v>
                </pt>
                <pt idx="119">
                  <v>85.78118672077848</v>
                </pt>
                <pt idx="120">
                  <v>83.91503401530804</v>
                </pt>
                <pt idx="121">
                  <v>82.04888130983763</v>
                </pt>
                <pt idx="122">
                  <v>80.18272860436717</v>
                </pt>
                <pt idx="123">
                  <v>78.31657589889673</v>
                </pt>
                <pt idx="124">
                  <v>76.45144438338667</v>
                </pt>
                <pt idx="125">
                  <v>74.40446100321216</v>
                </pt>
                <pt idx="126">
                  <v>72.08371222785574</v>
                </pt>
                <pt idx="127">
                  <v>69.76296345249933</v>
                </pt>
                <pt idx="128">
                  <v>67.44221467714291</v>
                </pt>
                <pt idx="129">
                  <v>65.12146590178649</v>
                </pt>
                <pt idx="130">
                  <v>62.80071712643009</v>
                </pt>
                <pt idx="131">
                  <v>60.47996835107366</v>
                </pt>
                <pt idx="132">
                  <v>58.1892584556347</v>
                </pt>
                <pt idx="133">
                  <v>55.91791573277409</v>
                </pt>
                <pt idx="134">
                  <v>53.64657300991349</v>
                </pt>
                <pt idx="135">
                  <v>51.37523028705289</v>
                </pt>
                <pt idx="136">
                  <v>49.10388756419228</v>
                </pt>
                <pt idx="137">
                  <v>46.83254484133167</v>
                </pt>
                <pt idx="138">
                  <v>44.56120211847108</v>
                </pt>
                <pt idx="139">
                  <v>42.28985939561046</v>
                </pt>
                <pt idx="140">
                  <v>40.14108241184764</v>
                </pt>
                <pt idx="141">
                  <v>38.07132807566103</v>
                </pt>
                <pt idx="142">
                  <v>36.00157373947441</v>
                </pt>
                <pt idx="143">
                  <v>33.93181940328779</v>
                </pt>
                <pt idx="144">
                  <v>31.86206506710116</v>
                </pt>
                <pt idx="145">
                  <v>29.79231073091454</v>
                </pt>
                <pt idx="146">
                  <v>27.72255639472793</v>
                </pt>
                <pt idx="147">
                  <v>25.6528020585413</v>
                </pt>
                <pt idx="148">
                  <v>24.13004725684094</v>
                </pt>
                <pt idx="149">
                  <v>22.95996320763824</v>
                </pt>
                <pt idx="150">
                  <v>21.78987915843555</v>
                </pt>
                <pt idx="151">
                  <v>20.61979510923285</v>
                </pt>
                <pt idx="152">
                  <v>19.44971106003015</v>
                </pt>
                <pt idx="153">
                  <v>18.27962701082745</v>
                </pt>
                <pt idx="154">
                  <v>17.10954296162476</v>
                </pt>
                <pt idx="155">
                  <v>15.93945891242206</v>
                </pt>
                <pt idx="156">
                  <v>14.97610475090324</v>
                </pt>
                <pt idx="157">
                  <v>14.14603696433849</v>
                </pt>
                <pt idx="158">
                  <v>13.31596917777374</v>
                </pt>
                <pt idx="159">
                  <v>12.48590139120898</v>
                </pt>
                <pt idx="160">
                  <v>11.65583360464423</v>
                </pt>
                <pt idx="161">
                  <v>10.82576581807947</v>
                </pt>
                <pt idx="162">
                  <v>9.995698031514724</v>
                </pt>
                <pt idx="163">
                  <v>9.165630244949966</v>
                </pt>
                <pt idx="164">
                  <v>8.491038080722618</v>
                </pt>
                <pt idx="165">
                  <v>7.91668677826542</v>
                </pt>
                <pt idx="166">
                  <v>7.342335475808222</v>
                </pt>
                <pt idx="167">
                  <v>6.767984173351026</v>
                </pt>
                <pt idx="168">
                  <v>6.193632870893827</v>
                </pt>
                <pt idx="169">
                  <v>5.619281568436628</v>
                </pt>
                <pt idx="170">
                  <v>5.044930265979437</v>
                </pt>
                <pt idx="171">
                  <v>4.470578963522234</v>
                </pt>
                <pt idx="172">
                  <v>4.026681299685829</v>
                </pt>
                <pt idx="173">
                  <v>3.666891902854925</v>
                </pt>
                <pt idx="174">
                  <v>3.307102506024018</v>
                </pt>
                <pt idx="175">
                  <v>2.947313109193114</v>
                </pt>
                <pt idx="176">
                  <v>2.587523712362207</v>
                </pt>
                <pt idx="177">
                  <v>2.2277343155313</v>
                </pt>
                <pt idx="178">
                  <v>1.867944918700397</v>
                </pt>
                <pt idx="179">
                  <v>1.50815552186949</v>
                </pt>
                <pt idx="180">
                  <v>1.263217104360084</v>
                </pt>
                <pt idx="181">
                  <v>1.092327344571113</v>
                </pt>
                <pt idx="182">
                  <v>0.921437584782139</v>
                </pt>
                <pt idx="183">
                  <v>0.7505478249931654</v>
                </pt>
                <pt idx="184">
                  <v>0.5796580652041917</v>
                </pt>
                <pt idx="185">
                  <v>0.408768305415218</v>
                </pt>
                <pt idx="186">
                  <v>0.2378785456262466</v>
                </pt>
                <pt idx="187">
                  <v>0.0669887858372729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95246954"/>
        <axId val="637599237"/>
      </lineChart>
      <catAx>
        <axId val="89524695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(hs)</a:t>
                </a:r>
              </a:p>
            </rich>
          </tx>
          <overlay val="0"/>
        </title>
        <numFmt formatCode="#,##0.00" sourceLinked="1"/>
        <majorTickMark val="none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637599237"/>
        <crosses val="autoZero"/>
        <auto val="1"/>
        <lblAlgn val="ctr"/>
        <lblOffset val="100"/>
        <noMultiLvlLbl val="1"/>
      </catAx>
      <valAx>
        <axId val="63759923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Caudal m^3/s</a:t>
                </a:r>
              </a:p>
            </rich>
          </tx>
          <overlay val="0"/>
        </title>
        <numFmt formatCode="#,##0.00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895246954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s-419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Tormenta de Diseño - P efectiva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Tormenta de Diseño</v>
          </tx>
          <spPr>
            <a:solidFill>
              <a:srgbClr val="4285F4"/>
            </a:solidFill>
            <a:ln cmpd="sng">
              <a:solidFill>
                <a:srgbClr val="000000"/>
              </a:solidFill>
              <a:prstDash val="solid"/>
            </a:ln>
          </spPr>
          <invertIfNegative val="1"/>
          <cat>
            <numRef>
              <f>'NRCS - Gande'!$O$21</f>
              <numCache>
                <formatCode>General</formatCode>
                <ptCount val="1"/>
              </numCache>
            </numRef>
          </cat>
          <val>
            <numRef>
              <f>'NRCS - Gande'!$N$6:$N$17</f>
              <numCache>
                <formatCode>0.000</formatCode>
                <ptCount val="12"/>
                <pt idx="0">
                  <v>3.120353492313086</v>
                </pt>
                <pt idx="1">
                  <v>3.573446133267083</v>
                </pt>
                <pt idx="2">
                  <v>4.08762155059982</v>
                </pt>
                <pt idx="3">
                  <v>4.879009354175878</v>
                </pt>
                <pt idx="4">
                  <v>6.326930312482745</v>
                </pt>
                <pt idx="5">
                  <v>10.46364730429715</v>
                </pt>
                <pt idx="6">
                  <v>25.78831806080853</v>
                </pt>
                <pt idx="7">
                  <v>7.697778720238901</v>
                </pt>
                <pt idx="8">
                  <v>5.473709804095002</v>
                </pt>
                <pt idx="9">
                  <v>4.434964788884187</v>
                </pt>
                <pt idx="10">
                  <v>3.806628469465366</v>
                </pt>
                <pt idx="11">
                  <v>3.37603458853242</v>
                </pt>
              </numCache>
            </numRef>
          </val>
        </ser>
        <ser>
          <idx val="1"/>
          <order val="1"/>
          <tx>
            <v>P efectiva</v>
          </tx>
          <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spPr>
          <invertIfNegative val="1"/>
          <cat>
            <numRef>
              <f>'NRCS - Gande'!$O$21</f>
              <numCache>
                <formatCode>General</formatCode>
                <ptCount val="1"/>
              </numCache>
            </numRef>
          </cat>
          <val>
            <numRef>
              <f>'NRCS - Gande'!$S$6:$S$17</f>
              <numCache>
                <formatCode>0.000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0.02432157669781709</v>
                </pt>
                <pt idx="4">
                  <v>0.7154329264842403</v>
                </pt>
                <pt idx="5">
                  <v>2.919135655203943</v>
                </pt>
                <pt idx="6">
                  <v>13.02783189048284</v>
                </pt>
                <pt idx="7">
                  <v>4.923664562189266</v>
                </pt>
                <pt idx="8">
                  <v>3.702946973770736</v>
                </pt>
                <pt idx="9">
                  <v>3.107000950283606</v>
                </pt>
                <pt idx="10">
                  <v>2.735394011739213</v>
                </pt>
                <pt idx="11">
                  <v>2.474598855319893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49910012"/>
        <axId val="399381463"/>
      </barChart>
      <catAx>
        <axId val="134991001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399381463"/>
        <crosses val="autoZero"/>
        <auto val="1"/>
        <lblAlgn val="ctr"/>
        <lblOffset val="100"/>
        <noMultiLvlLbl val="1"/>
      </catAx>
      <valAx>
        <axId val="39938146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Precipitación (mm)</a:t>
                </a:r>
              </a:p>
            </rich>
          </tx>
          <overlay val="0"/>
        </title>
        <numFmt formatCode="0.000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1349910012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s-419"/>
        </a:p>
      </txPr>
    </legend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657225</colOff>
      <row>16</row>
      <rowOff>180975</rowOff>
    </from>
    <ext cx="5086350" cy="4352925"/>
    <pic>
      <nvPicPr>
        <cNvPr id="2" name="image1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419100</colOff>
      <row>19</row>
      <rowOff>152400</rowOff>
    </from>
    <ext cx="5715000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19</col>
      <colOff>247650</colOff>
      <row>49</row>
      <rowOff>95250</rowOff>
    </from>
    <ext cx="6181725" cy="38004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13</col>
      <colOff>152400</colOff>
      <row>19</row>
      <rowOff>38100</rowOff>
    </from>
    <ext cx="7829550" cy="35337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49"/>
  <sheetViews>
    <sheetView workbookViewId="0">
      <selection activeCell="A1" sqref="A1"/>
    </sheetView>
  </sheetViews>
  <sheetFormatPr baseColWidth="10" defaultColWidth="12.6640625" defaultRowHeight="15.75" customHeight="1"/>
  <sheetData>
    <row r="1" ht="13.2" customHeight="1" s="53">
      <c r="A1" s="52" t="inlineStr">
        <is>
          <t>MÉTODO RACIONAL</t>
        </is>
      </c>
      <c r="C1" s="1" t="inlineStr">
        <is>
          <t>COMPLETAR</t>
        </is>
      </c>
    </row>
    <row r="2" ht="17.25" customHeight="1" s="53">
      <c r="F2" s="2" t="n">
        <v>10.142</v>
      </c>
    </row>
    <row r="3" ht="13.2" customHeight="1" s="53">
      <c r="A3" s="52" t="inlineStr">
        <is>
          <t>CUENCA GRANDE</t>
        </is>
      </c>
      <c r="C3" s="67" t="n"/>
      <c r="F3" s="2">
        <f>0.0184*100</f>
        <v/>
      </c>
      <c r="L3" s="52" t="inlineStr">
        <is>
          <t>CUENCA CHICA</t>
        </is>
      </c>
    </row>
    <row r="4" ht="13.2" customHeight="1" s="53">
      <c r="A4" s="67" t="n"/>
      <c r="B4" s="67" t="n"/>
      <c r="C4" s="67" t="n"/>
      <c r="L4" s="67" t="n"/>
      <c r="M4" s="67" t="n"/>
    </row>
    <row r="5" ht="13.2" customHeight="1" s="53">
      <c r="A5" s="4" t="inlineStr">
        <is>
          <t>tc (hs)</t>
        </is>
      </c>
      <c r="B5" s="8">
        <f>(0.4*(D5^0.77))/D6^0.385</f>
        <v/>
      </c>
      <c r="C5" s="4" t="inlineStr">
        <is>
          <t>L (Km)</t>
        </is>
      </c>
      <c r="D5" s="5" t="n">
        <v>3.715</v>
      </c>
      <c r="L5" s="4" t="inlineStr">
        <is>
          <t>tc (hs)</t>
        </is>
      </c>
      <c r="M5" s="8">
        <f>(0.4*(O5^0.77))/O6^0.385</f>
        <v/>
      </c>
      <c r="N5" s="4" t="inlineStr">
        <is>
          <t>L (Km)</t>
        </is>
      </c>
      <c r="O5" s="5" t="n">
        <v>1.94</v>
      </c>
    </row>
    <row r="6" ht="13.2" customHeight="1" s="53">
      <c r="A6" s="72" t="n"/>
      <c r="B6" s="72" t="n"/>
      <c r="C6" s="4" t="inlineStr">
        <is>
          <t>S (%)</t>
        </is>
      </c>
      <c r="D6" s="5" t="n">
        <v>2.153432032301481</v>
      </c>
      <c r="L6" s="72" t="n"/>
      <c r="M6" s="72" t="n"/>
      <c r="N6" s="4" t="inlineStr">
        <is>
          <t>S (%)</t>
        </is>
      </c>
      <c r="O6" s="5" t="n">
        <v>1.65</v>
      </c>
    </row>
    <row r="7" ht="13.2" customHeight="1" s="53">
      <c r="A7" s="67" t="n"/>
      <c r="B7" s="67" t="n"/>
      <c r="C7" s="67" t="n"/>
      <c r="L7" s="67" t="n"/>
      <c r="M7" s="67" t="n"/>
    </row>
    <row r="8" ht="13.2" customHeight="1" s="53">
      <c r="A8" s="6" t="inlineStr">
        <is>
          <t>Qmax(m3/s) =</t>
        </is>
      </c>
      <c r="B8" s="8">
        <f>D8*D9*D14/360</f>
        <v/>
      </c>
      <c r="C8" s="6" t="inlineStr">
        <is>
          <t>c =</t>
        </is>
      </c>
      <c r="D8" s="5" t="n">
        <v>0.38</v>
      </c>
      <c r="E8" s="59" t="n"/>
      <c r="F8" s="59" t="n"/>
      <c r="G8" s="59" t="n"/>
      <c r="H8" s="59" t="n"/>
      <c r="I8" s="59" t="n"/>
      <c r="J8" s="59" t="n"/>
      <c r="L8" s="6" t="inlineStr">
        <is>
          <t>Qmax(m3/s) =</t>
        </is>
      </c>
      <c r="M8" s="8">
        <f>O8*O9*O14/360</f>
        <v/>
      </c>
      <c r="N8" s="6" t="inlineStr">
        <is>
          <t>c =</t>
        </is>
      </c>
      <c r="O8" s="5">
        <f>D8</f>
        <v/>
      </c>
    </row>
    <row r="9" ht="13.2" customHeight="1" s="53">
      <c r="A9" s="73" t="n"/>
      <c r="B9" s="73" t="n"/>
      <c r="C9" s="6" t="inlineStr">
        <is>
          <t xml:space="preserve">i(mm/h) = </t>
        </is>
      </c>
      <c r="D9" s="8">
        <f>F9/F13</f>
        <v/>
      </c>
      <c r="E9" s="4" t="inlineStr">
        <is>
          <t>P (mm) =</t>
        </is>
      </c>
      <c r="F9" s="8">
        <f>H9*H10*H11*H12</f>
        <v/>
      </c>
      <c r="G9" s="4" t="inlineStr">
        <is>
          <t>P3,10 (mm) =</t>
        </is>
      </c>
      <c r="H9" s="5" t="n">
        <v>98</v>
      </c>
      <c r="I9" s="59" t="n"/>
      <c r="J9" s="59" t="n"/>
      <c r="L9" s="73" t="n"/>
      <c r="M9" s="73" t="n"/>
      <c r="N9" s="6" t="inlineStr">
        <is>
          <t xml:space="preserve">i(mm/h) = </t>
        </is>
      </c>
      <c r="O9" s="8">
        <f>Q9/Q13</f>
        <v/>
      </c>
      <c r="P9" s="4" t="inlineStr">
        <is>
          <t>P (mm) =</t>
        </is>
      </c>
      <c r="Q9" s="8">
        <f>S9*S10*S11*S12</f>
        <v/>
      </c>
      <c r="R9" s="4" t="inlineStr">
        <is>
          <t>P3,10 (mm) =</t>
        </is>
      </c>
      <c r="S9" s="5" t="n">
        <v>98</v>
      </c>
      <c r="T9" s="59" t="n"/>
      <c r="U9" s="59" t="n"/>
    </row>
    <row r="10" ht="13.2" customHeight="1" s="53">
      <c r="A10" s="73" t="n"/>
      <c r="B10" s="73" t="n"/>
      <c r="C10" s="73" t="n"/>
      <c r="D10" s="73" t="n"/>
      <c r="E10" s="73" t="n"/>
      <c r="F10" s="73" t="n"/>
      <c r="G10" s="4" t="inlineStr">
        <is>
          <t>CT =</t>
        </is>
      </c>
      <c r="H10" s="8">
        <f>0.5786-0.4312*LOG(LN(J10/(J10-1)))</f>
        <v/>
      </c>
      <c r="I10" s="4" t="inlineStr">
        <is>
          <t>Tr</t>
        </is>
      </c>
      <c r="J10" s="5" t="n">
        <v>10</v>
      </c>
      <c r="L10" s="73" t="n"/>
      <c r="M10" s="73" t="n"/>
      <c r="N10" s="73" t="n"/>
      <c r="O10" s="73" t="n"/>
      <c r="P10" s="73" t="n"/>
      <c r="Q10" s="73" t="n"/>
      <c r="R10" s="4" t="inlineStr">
        <is>
          <t>CT =</t>
        </is>
      </c>
      <c r="S10" s="8">
        <f>0.5786-0.4312*LOG(LN(U10/(U10-1)))</f>
        <v/>
      </c>
      <c r="T10" s="4" t="inlineStr">
        <is>
          <t>Tr</t>
        </is>
      </c>
      <c r="U10" s="5" t="n">
        <v>10</v>
      </c>
    </row>
    <row r="11" ht="13.2" customHeight="1" s="53">
      <c r="A11" s="73" t="n"/>
      <c r="B11" s="73" t="n"/>
      <c r="C11" s="73" t="n"/>
      <c r="D11" s="73" t="n"/>
      <c r="E11" s="73" t="n"/>
      <c r="F11" s="73" t="n"/>
      <c r="G11" s="4" t="inlineStr">
        <is>
          <t>CD =</t>
        </is>
      </c>
      <c r="H11" s="8">
        <f>IF(F13&gt;3, (1.0287*F13)/((F13+1.0293)^0.8083), (0.6208*F13)/((F13+0.0137)^0.5639))</f>
        <v/>
      </c>
      <c r="I11" s="59" t="n"/>
      <c r="J11" s="59" t="n"/>
      <c r="L11" s="73" t="n"/>
      <c r="M11" s="73" t="n"/>
      <c r="N11" s="73" t="n"/>
      <c r="O11" s="73" t="n"/>
      <c r="P11" s="73" t="n"/>
      <c r="Q11" s="73" t="n"/>
      <c r="R11" s="4" t="inlineStr">
        <is>
          <t>CD =</t>
        </is>
      </c>
      <c r="S11" s="8">
        <f>IF(Q13&gt;3, (1.0287*Q13)/((Q13+1.0293)^0.8083), (0.6208*Q13)/((Q13+0.0137)^0.5639))</f>
        <v/>
      </c>
      <c r="T11" s="59" t="n"/>
      <c r="U11" s="59" t="n"/>
    </row>
    <row r="12" ht="13.2" customHeight="1" s="53">
      <c r="A12" s="73" t="n"/>
      <c r="B12" s="73" t="n"/>
      <c r="C12" s="73" t="n"/>
      <c r="D12" s="73" t="n"/>
      <c r="E12" s="72" t="n"/>
      <c r="F12" s="72" t="n"/>
      <c r="G12" s="4" t="inlineStr">
        <is>
          <t>CA =</t>
        </is>
      </c>
      <c r="H12" s="8">
        <f>1-(0.3549*(F13^-0.4272)*(1-EXP(-0.005792*D15)))</f>
        <v/>
      </c>
      <c r="I12" s="59" t="inlineStr">
        <is>
          <t>Si pluv. CA = 1</t>
        </is>
      </c>
      <c r="J12" s="59" t="n"/>
      <c r="L12" s="73" t="n"/>
      <c r="M12" s="73" t="n"/>
      <c r="N12" s="73" t="n"/>
      <c r="O12" s="73" t="n"/>
      <c r="P12" s="72" t="n"/>
      <c r="Q12" s="72" t="n"/>
      <c r="R12" s="4" t="inlineStr">
        <is>
          <t>CA =</t>
        </is>
      </c>
      <c r="S12" s="8">
        <f>1-(0.3549*(Q13^-0.4272)*(1-EXP(-0.005792*O15)))</f>
        <v/>
      </c>
      <c r="T12" s="59" t="n"/>
      <c r="U12" s="59" t="n"/>
    </row>
    <row r="13" ht="13.2" customHeight="1" s="53">
      <c r="A13" s="73" t="n"/>
      <c r="B13" s="73" t="n"/>
      <c r="C13" s="72" t="n"/>
      <c r="D13" s="72" t="n"/>
      <c r="E13" s="4" t="inlineStr">
        <is>
          <t>tc (hs) = d =</t>
        </is>
      </c>
      <c r="F13" s="8">
        <f>B5</f>
        <v/>
      </c>
      <c r="G13" s="59" t="n"/>
      <c r="H13" s="59" t="n"/>
      <c r="I13" s="59" t="n"/>
      <c r="J13" s="59" t="n"/>
      <c r="L13" s="73" t="n"/>
      <c r="M13" s="73" t="n"/>
      <c r="N13" s="72" t="n"/>
      <c r="O13" s="72" t="n"/>
      <c r="P13" s="4" t="inlineStr">
        <is>
          <t>tc (hs) = d =</t>
        </is>
      </c>
      <c r="Q13" s="8">
        <f>M5</f>
        <v/>
      </c>
      <c r="R13" s="59" t="n"/>
      <c r="S13" s="59" t="n"/>
      <c r="T13" s="59" t="n"/>
      <c r="U13" s="59" t="n"/>
    </row>
    <row r="14" ht="13.2" customHeight="1" s="53">
      <c r="A14" s="72" t="n"/>
      <c r="B14" s="72" t="n"/>
      <c r="C14" s="6" t="inlineStr">
        <is>
          <t>Ac (ha) =</t>
        </is>
      </c>
      <c r="D14" s="5" t="n">
        <v>890</v>
      </c>
      <c r="E14" s="59" t="n"/>
      <c r="F14" s="59" t="n"/>
      <c r="G14" s="59" t="n"/>
      <c r="H14" s="59" t="n"/>
      <c r="I14" s="59" t="n"/>
      <c r="J14" s="59" t="n"/>
      <c r="L14" s="72" t="n"/>
      <c r="M14" s="72" t="n"/>
      <c r="N14" s="6" t="inlineStr">
        <is>
          <t>Ac (ha) =</t>
        </is>
      </c>
      <c r="O14" s="5">
        <f>O15*100</f>
        <v/>
      </c>
    </row>
    <row r="15" ht="13.2" customHeight="1" s="53">
      <c r="C15" s="6" t="inlineStr">
        <is>
          <t>Ac (km2) =</t>
        </is>
      </c>
      <c r="D15" s="9">
        <f>D14/100</f>
        <v/>
      </c>
      <c r="N15" s="6" t="inlineStr">
        <is>
          <t>Ac (km2) =</t>
        </is>
      </c>
      <c r="O15" s="9" t="n">
        <v>2.19</v>
      </c>
    </row>
    <row r="16" ht="13.2" customHeight="1" s="53">
      <c r="P16" s="59" t="n"/>
    </row>
    <row r="18" ht="13.2" customHeight="1" s="53">
      <c r="I18" s="52" t="inlineStr">
        <is>
          <t>Período de Retorno (años)</t>
        </is>
      </c>
      <c r="Q18" s="59" t="n"/>
      <c r="R18" s="59" t="n"/>
      <c r="S18" s="59" t="n"/>
    </row>
    <row r="19" ht="14.4" customHeight="1" s="53">
      <c r="H19" s="10" t="inlineStr">
        <is>
          <t>Caracaterísticas de la superficie</t>
        </is>
      </c>
      <c r="I19" s="11" t="n">
        <v>2</v>
      </c>
      <c r="J19" s="11" t="n">
        <v>5</v>
      </c>
      <c r="K19" s="11" t="n">
        <v>10</v>
      </c>
      <c r="L19" s="11" t="n">
        <v>25</v>
      </c>
      <c r="M19" s="11" t="n">
        <v>50</v>
      </c>
      <c r="N19" s="11" t="n">
        <v>100</v>
      </c>
      <c r="O19" s="11" t="n">
        <v>500</v>
      </c>
    </row>
    <row r="21" ht="14.4" customHeight="1" s="53">
      <c r="H21" s="11" t="inlineStr">
        <is>
          <t>Áreas desarrolladas</t>
        </is>
      </c>
      <c r="I21" s="74" t="n"/>
      <c r="J21" s="74" t="n"/>
      <c r="K21" s="74" t="n"/>
      <c r="L21" s="74" t="n"/>
      <c r="M21" s="74" t="n"/>
      <c r="N21" s="74" t="n"/>
      <c r="O21" s="75" t="n"/>
    </row>
    <row r="22" ht="14.4" customHeight="1" s="53">
      <c r="H22" s="12" t="inlineStr">
        <is>
          <t>Asfáltico</t>
        </is>
      </c>
      <c r="I22" s="13" t="inlineStr">
        <is>
          <t>0,73</t>
        </is>
      </c>
      <c r="J22" s="13" t="inlineStr">
        <is>
          <t>0,77</t>
        </is>
      </c>
      <c r="K22" s="13" t="inlineStr">
        <is>
          <t>0,81</t>
        </is>
      </c>
      <c r="L22" s="13" t="inlineStr">
        <is>
          <t>0,86</t>
        </is>
      </c>
      <c r="M22" s="13" t="inlineStr">
        <is>
          <t>0,9</t>
        </is>
      </c>
      <c r="N22" s="13" t="inlineStr">
        <is>
          <t>0,95</t>
        </is>
      </c>
      <c r="O22" s="13" t="n">
        <v>1</v>
      </c>
    </row>
    <row r="23" ht="14.4" customHeight="1" s="53">
      <c r="H23" s="12" t="inlineStr">
        <is>
          <t>Concreto/techo</t>
        </is>
      </c>
      <c r="I23" s="13" t="inlineStr">
        <is>
          <t>0,75</t>
        </is>
      </c>
      <c r="J23" s="13" t="inlineStr">
        <is>
          <t>0,77</t>
        </is>
      </c>
      <c r="K23" s="13" t="inlineStr">
        <is>
          <t>0,82</t>
        </is>
      </c>
      <c r="L23" s="13" t="inlineStr">
        <is>
          <t>0,88</t>
        </is>
      </c>
      <c r="M23" s="13" t="inlineStr">
        <is>
          <t>0,92</t>
        </is>
      </c>
      <c r="N23" s="13" t="inlineStr">
        <is>
          <t>0,97</t>
        </is>
      </c>
      <c r="O23" s="13" t="n">
        <v>1</v>
      </c>
    </row>
    <row r="24" ht="14.4" customHeight="1" s="53">
      <c r="H24" s="76" t="inlineStr">
        <is>
          <t>Zonas verdes</t>
        </is>
      </c>
      <c r="I24" s="74" t="n"/>
      <c r="J24" s="74" t="n"/>
      <c r="K24" s="74" t="n"/>
      <c r="L24" s="74" t="n"/>
      <c r="M24" s="74" t="n"/>
      <c r="N24" s="74" t="n"/>
      <c r="O24" s="75" t="n"/>
    </row>
    <row r="25" ht="14.4" customHeight="1" s="53">
      <c r="H25" s="76" t="inlineStr">
        <is>
          <t>Condición pobre (cubierta de pasto menor del 50% del área)</t>
        </is>
      </c>
      <c r="I25" s="74" t="n"/>
      <c r="J25" s="74" t="n"/>
      <c r="K25" s="74" t="n"/>
      <c r="L25" s="74" t="n"/>
      <c r="M25" s="74" t="n"/>
      <c r="N25" s="74" t="n"/>
      <c r="O25" s="75" t="n"/>
    </row>
    <row r="26" ht="14.4" customHeight="1" s="53">
      <c r="H26" s="14" t="inlineStr">
        <is>
          <t>Plano 0-2%</t>
        </is>
      </c>
      <c r="I26" s="13" t="inlineStr">
        <is>
          <t>0,32</t>
        </is>
      </c>
      <c r="J26" s="13" t="inlineStr">
        <is>
          <t>0,34</t>
        </is>
      </c>
      <c r="K26" s="13" t="n">
        <v>0.37</v>
      </c>
      <c r="L26" s="13" t="n">
        <v>0.4</v>
      </c>
      <c r="M26" s="13" t="n">
        <v>0.44</v>
      </c>
      <c r="N26" s="13" t="n">
        <v>0.47</v>
      </c>
      <c r="O26" s="13" t="n">
        <v>0.58</v>
      </c>
    </row>
    <row r="27" ht="14.4" customHeight="1" s="53">
      <c r="H27" s="14" t="inlineStr">
        <is>
          <t>Promedio 2-7%</t>
        </is>
      </c>
      <c r="I27" s="13" t="n">
        <v>0.37</v>
      </c>
      <c r="J27" s="13" t="n">
        <v>0.4</v>
      </c>
      <c r="K27" s="13" t="n">
        <v>0.43</v>
      </c>
      <c r="L27" s="13" t="n">
        <v>0.46</v>
      </c>
      <c r="M27" s="13" t="n">
        <v>0.49</v>
      </c>
      <c r="N27" s="13" t="inlineStr">
        <is>
          <t>0,53</t>
        </is>
      </c>
      <c r="O27" s="13" t="n">
        <v>0.61</v>
      </c>
    </row>
    <row r="28" ht="14.4" customHeight="1" s="53">
      <c r="H28" s="14" t="inlineStr">
        <is>
          <t>Pendiente &gt;7%</t>
        </is>
      </c>
      <c r="I28" s="13" t="n">
        <v>0.4</v>
      </c>
      <c r="J28" s="13" t="n">
        <v>0.43</v>
      </c>
      <c r="K28" s="13" t="n">
        <v>0.45</v>
      </c>
      <c r="L28" s="13" t="inlineStr">
        <is>
          <t>0,49</t>
        </is>
      </c>
      <c r="M28" s="13" t="inlineStr">
        <is>
          <t>0,52</t>
        </is>
      </c>
      <c r="N28" s="13" t="inlineStr">
        <is>
          <t>0,55</t>
        </is>
      </c>
      <c r="O28" s="13" t="n">
        <v>0.62</v>
      </c>
    </row>
    <row r="29" ht="14.4" customHeight="1" s="53">
      <c r="H29" s="76" t="inlineStr">
        <is>
          <t>Condición normal (cubierta de pasto del 50-75% del área)</t>
        </is>
      </c>
      <c r="I29" s="74" t="n"/>
      <c r="J29" s="74" t="n"/>
      <c r="K29" s="74" t="n"/>
      <c r="L29" s="74" t="n"/>
      <c r="M29" s="74" t="n"/>
      <c r="N29" s="74" t="n"/>
      <c r="O29" s="75" t="n"/>
    </row>
    <row r="30" ht="14.4" customHeight="1" s="53">
      <c r="H30" s="14" t="inlineStr">
        <is>
          <t>Plano 0-2%</t>
        </is>
      </c>
      <c r="I30" s="13" t="n">
        <v>0.25</v>
      </c>
      <c r="J30" s="13" t="n">
        <v>0.28</v>
      </c>
      <c r="K30" s="13" t="n">
        <v>0.3</v>
      </c>
      <c r="L30" s="13" t="n">
        <v>0.34</v>
      </c>
      <c r="M30" s="13" t="n">
        <v>0.37</v>
      </c>
      <c r="N30" s="13" t="n">
        <v>0.41</v>
      </c>
      <c r="O30" s="13" t="inlineStr">
        <is>
          <t>0,53</t>
        </is>
      </c>
    </row>
    <row r="31" ht="14.4" customHeight="1" s="53">
      <c r="H31" s="14" t="inlineStr">
        <is>
          <t>Promedio 2-7%</t>
        </is>
      </c>
      <c r="I31" s="13" t="n">
        <v>0.33</v>
      </c>
      <c r="J31" s="13" t="n">
        <v>0.36</v>
      </c>
      <c r="K31" s="13" t="n">
        <v>0.38</v>
      </c>
      <c r="L31" s="13" t="n">
        <v>0.42</v>
      </c>
      <c r="M31" s="13" t="n">
        <v>0.45</v>
      </c>
      <c r="N31" s="13" t="inlineStr">
        <is>
          <t>0,49</t>
        </is>
      </c>
      <c r="O31" s="13" t="n">
        <v>0.58</v>
      </c>
    </row>
    <row r="32" ht="14.4" customHeight="1" s="53">
      <c r="H32" s="14" t="inlineStr">
        <is>
          <t>Pendiente &gt;7%</t>
        </is>
      </c>
      <c r="I32" s="13" t="n">
        <v>0.37</v>
      </c>
      <c r="J32" s="13" t="n">
        <v>0.4</v>
      </c>
      <c r="K32" s="13" t="n">
        <v>0.42</v>
      </c>
      <c r="L32" s="13" t="n">
        <v>0.46</v>
      </c>
      <c r="M32" s="13" t="n">
        <v>0.49</v>
      </c>
      <c r="N32" s="13" t="n">
        <v>0.53</v>
      </c>
      <c r="O32" s="13" t="n">
        <v>0.6</v>
      </c>
    </row>
    <row r="33" ht="14.4" customHeight="1" s="53">
      <c r="H33" s="76" t="inlineStr">
        <is>
          <t>Condición buena (cubierta de pasto &gt;75% del área), Plano 0-2%</t>
        </is>
      </c>
      <c r="I33" s="74" t="n"/>
      <c r="J33" s="74" t="n"/>
      <c r="K33" s="74" t="n"/>
      <c r="L33" s="74" t="n"/>
      <c r="M33" s="74" t="n"/>
      <c r="N33" s="74" t="n"/>
      <c r="O33" s="75" t="n"/>
    </row>
    <row r="34" ht="14.4" customHeight="1" s="53">
      <c r="H34" s="14" t="inlineStr">
        <is>
          <t>Plano 0-2%</t>
        </is>
      </c>
      <c r="I34" s="13" t="n">
        <v>0.21</v>
      </c>
      <c r="J34" s="13" t="n">
        <v>0.23</v>
      </c>
      <c r="K34" s="13" t="n">
        <v>0.25</v>
      </c>
      <c r="L34" s="13" t="n">
        <v>0.29</v>
      </c>
      <c r="M34" s="13" t="n">
        <v>0.32</v>
      </c>
      <c r="N34" s="13" t="n">
        <v>0.36</v>
      </c>
      <c r="O34" s="13" t="n">
        <v>0.49</v>
      </c>
    </row>
    <row r="35" ht="14.4" customHeight="1" s="53">
      <c r="H35" s="14" t="inlineStr">
        <is>
          <t>Promedio 2-7%</t>
        </is>
      </c>
      <c r="I35" s="13" t="n">
        <v>0.29</v>
      </c>
      <c r="J35" s="13" t="n">
        <v>0.32</v>
      </c>
      <c r="K35" s="13" t="n">
        <v>0.35</v>
      </c>
      <c r="L35" s="13" t="n">
        <v>0.39</v>
      </c>
      <c r="M35" s="13" t="n">
        <v>0.42</v>
      </c>
      <c r="N35" s="13" t="n">
        <v>0.46</v>
      </c>
      <c r="O35" s="13" t="n">
        <v>0.5600000000000001</v>
      </c>
    </row>
    <row r="36" ht="14.4" customHeight="1" s="53">
      <c r="H36" s="14" t="inlineStr">
        <is>
          <t>Pendiente &gt;7%</t>
        </is>
      </c>
      <c r="I36" s="13" t="n">
        <v>0.34</v>
      </c>
      <c r="J36" s="13" t="n">
        <v>0.37</v>
      </c>
      <c r="K36" s="13" t="n">
        <v>0.4</v>
      </c>
      <c r="L36" s="13" t="n">
        <v>0.44</v>
      </c>
      <c r="M36" s="13" t="n">
        <v>0.47</v>
      </c>
      <c r="N36" s="13" t="n">
        <v>0.51</v>
      </c>
      <c r="O36" s="13" t="n">
        <v>0.58</v>
      </c>
    </row>
    <row r="37" ht="14.4" customHeight="1" s="53">
      <c r="H37" s="11" t="inlineStr">
        <is>
          <t>Áreas no desarrolladas</t>
        </is>
      </c>
      <c r="I37" s="74" t="n"/>
      <c r="J37" s="74" t="n"/>
      <c r="K37" s="74" t="n"/>
      <c r="L37" s="74" t="n"/>
      <c r="M37" s="74" t="n"/>
      <c r="N37" s="74" t="n"/>
      <c r="O37" s="75" t="n"/>
    </row>
    <row r="38" ht="14.4" customHeight="1" s="53">
      <c r="H38" s="76" t="inlineStr">
        <is>
          <t>Areas de cultivos</t>
        </is>
      </c>
      <c r="I38" s="74" t="n"/>
      <c r="J38" s="74" t="n"/>
      <c r="K38" s="74" t="n"/>
      <c r="L38" s="74" t="n"/>
      <c r="M38" s="74" t="n"/>
      <c r="N38" s="74" t="n"/>
      <c r="O38" s="75" t="n"/>
    </row>
    <row r="39" ht="13.2" customHeight="1" s="53">
      <c r="H39" s="14" t="inlineStr">
        <is>
          <t>Plano 0-2%</t>
        </is>
      </c>
      <c r="I39" s="15" t="n">
        <v>0.31</v>
      </c>
      <c r="J39" s="15" t="n">
        <v>0.34</v>
      </c>
      <c r="K39" s="15" t="n">
        <v>0.36</v>
      </c>
      <c r="L39" s="15" t="n">
        <v>0.4</v>
      </c>
      <c r="M39" s="15" t="n">
        <v>0.43</v>
      </c>
      <c r="N39" s="15" t="n">
        <v>0.47</v>
      </c>
      <c r="O39" s="15" t="n">
        <v>0.57</v>
      </c>
    </row>
    <row r="40" ht="13.2" customHeight="1" s="53">
      <c r="H40" s="14" t="inlineStr">
        <is>
          <t>Promedio 2-7%</t>
        </is>
      </c>
      <c r="I40" s="15" t="n">
        <v>0.35</v>
      </c>
      <c r="J40" s="15" t="n">
        <v>0.38</v>
      </c>
      <c r="K40" s="15" t="n">
        <v>0.41</v>
      </c>
      <c r="L40" s="15" t="n">
        <v>0.44</v>
      </c>
      <c r="M40" s="15" t="n">
        <v>0.48</v>
      </c>
      <c r="N40" s="15" t="n">
        <v>0.51</v>
      </c>
      <c r="O40" s="15" t="n">
        <v>0.6</v>
      </c>
    </row>
    <row r="41" ht="13.2" customHeight="1" s="53">
      <c r="H41" s="14" t="inlineStr">
        <is>
          <t>Pendiente &gt;7%</t>
        </is>
      </c>
      <c r="I41" s="15" t="n">
        <v>0.39</v>
      </c>
      <c r="J41" s="15" t="n">
        <v>0.42</v>
      </c>
      <c r="K41" s="15" t="n">
        <v>0.44</v>
      </c>
      <c r="L41" s="15" t="n">
        <v>0.48</v>
      </c>
      <c r="M41" s="15" t="n">
        <v>0.51</v>
      </c>
      <c r="N41" s="15" t="n">
        <v>0.54</v>
      </c>
      <c r="O41" s="15" t="n">
        <v>0.61</v>
      </c>
    </row>
    <row r="42" ht="14.4" customHeight="1" s="53">
      <c r="H42" s="76" t="inlineStr">
        <is>
          <t>Pastizales</t>
        </is>
      </c>
      <c r="I42" s="74" t="n"/>
      <c r="J42" s="74" t="n"/>
      <c r="K42" s="74" t="n"/>
      <c r="L42" s="74" t="n"/>
      <c r="M42" s="74" t="n"/>
      <c r="N42" s="74" t="n"/>
      <c r="O42" s="75" t="n"/>
    </row>
    <row r="43" ht="13.2" customHeight="1" s="53">
      <c r="H43" s="14" t="inlineStr">
        <is>
          <t>Plano 0-2%</t>
        </is>
      </c>
      <c r="I43" s="15" t="n">
        <v>0.25</v>
      </c>
      <c r="J43" s="15" t="n">
        <v>0.28</v>
      </c>
      <c r="K43" s="15" t="n">
        <v>0.3</v>
      </c>
      <c r="L43" s="15" t="n">
        <v>0.34</v>
      </c>
      <c r="M43" s="15" t="n">
        <v>0.37</v>
      </c>
      <c r="N43" s="15" t="n">
        <v>0.41</v>
      </c>
      <c r="O43" s="15" t="n">
        <v>0.53</v>
      </c>
    </row>
    <row r="44" ht="13.2" customHeight="1" s="53">
      <c r="H44" s="14" t="inlineStr">
        <is>
          <t>Promedio 2-7%</t>
        </is>
      </c>
      <c r="I44" s="15" t="n">
        <v>0.33</v>
      </c>
      <c r="J44" s="15" t="n">
        <v>0.36</v>
      </c>
      <c r="K44" s="15" t="n">
        <v>0.38</v>
      </c>
      <c r="L44" s="15" t="n">
        <v>0.42</v>
      </c>
      <c r="M44" s="15" t="n">
        <v>0.45</v>
      </c>
      <c r="N44" s="15" t="n">
        <v>0.49</v>
      </c>
      <c r="O44" s="15" t="n">
        <v>0.58</v>
      </c>
    </row>
    <row r="45" ht="13.2" customHeight="1" s="53">
      <c r="H45" s="14" t="inlineStr">
        <is>
          <t>Pendiente &gt;7%</t>
        </is>
      </c>
      <c r="I45" s="15" t="n">
        <v>0.37</v>
      </c>
      <c r="J45" s="15" t="n">
        <v>0.4</v>
      </c>
      <c r="K45" s="15" t="n">
        <v>0.42</v>
      </c>
      <c r="L45" s="15" t="n">
        <v>0.46</v>
      </c>
      <c r="M45" s="15" t="n">
        <v>0.49</v>
      </c>
      <c r="N45" s="15" t="n">
        <v>0.53</v>
      </c>
      <c r="O45" s="15" t="n">
        <v>0.6</v>
      </c>
    </row>
    <row r="46" ht="14.4" customHeight="1" s="53">
      <c r="H46" s="76" t="inlineStr">
        <is>
          <t>Bosques</t>
        </is>
      </c>
      <c r="I46" s="74" t="n"/>
      <c r="J46" s="74" t="n"/>
      <c r="K46" s="74" t="n"/>
      <c r="L46" s="74" t="n"/>
      <c r="M46" s="74" t="n"/>
      <c r="N46" s="74" t="n"/>
      <c r="O46" s="75" t="n"/>
    </row>
    <row r="47" ht="13.2" customHeight="1" s="53">
      <c r="H47" s="14" t="inlineStr">
        <is>
          <t>Plano 0-2%</t>
        </is>
      </c>
      <c r="I47" s="15" t="n">
        <v>0.22</v>
      </c>
      <c r="J47" s="15" t="n">
        <v>0.25</v>
      </c>
      <c r="K47" s="15" t="n">
        <v>0.28</v>
      </c>
      <c r="L47" s="15" t="n">
        <v>0.31</v>
      </c>
      <c r="M47" s="15" t="n">
        <v>0.35</v>
      </c>
      <c r="N47" s="15" t="n">
        <v>0.39</v>
      </c>
      <c r="O47" s="15" t="n">
        <v>0.48</v>
      </c>
    </row>
    <row r="48" ht="13.2" customHeight="1" s="53">
      <c r="H48" s="14" t="inlineStr">
        <is>
          <t>Promedio 2-7%</t>
        </is>
      </c>
      <c r="I48" s="15" t="n">
        <v>0.31</v>
      </c>
      <c r="J48" s="15" t="n">
        <v>0.34</v>
      </c>
      <c r="K48" s="15" t="n">
        <v>0.36</v>
      </c>
      <c r="L48" s="15" t="n">
        <v>0.4</v>
      </c>
      <c r="M48" s="15" t="n">
        <v>0.43</v>
      </c>
      <c r="N48" s="15" t="n">
        <v>0.47</v>
      </c>
      <c r="O48" s="15" t="n">
        <v>0.5600000000000001</v>
      </c>
    </row>
    <row r="49" ht="13.2" customHeight="1" s="53">
      <c r="H49" s="14" t="inlineStr">
        <is>
          <t>Pendiente &gt;7%</t>
        </is>
      </c>
      <c r="I49" s="15" t="n">
        <v>0.35</v>
      </c>
      <c r="J49" s="15" t="n">
        <v>0.39</v>
      </c>
      <c r="K49" s="15" t="n">
        <v>0.41</v>
      </c>
      <c r="L49" s="15" t="n">
        <v>0.45</v>
      </c>
      <c r="M49" s="15" t="n">
        <v>0.48</v>
      </c>
      <c r="N49" s="15" t="n">
        <v>0.52</v>
      </c>
      <c r="O49" s="15" t="n">
        <v>0.58</v>
      </c>
    </row>
  </sheetData>
  <mergeCells count="29">
    <mergeCell ref="C9:C13"/>
    <mergeCell ref="L8:L14"/>
    <mergeCell ref="H29:O29"/>
    <mergeCell ref="H38:O38"/>
    <mergeCell ref="P9:P12"/>
    <mergeCell ref="A8:A14"/>
    <mergeCell ref="N9:N13"/>
    <mergeCell ref="A1:B1"/>
    <mergeCell ref="L5:L6"/>
    <mergeCell ref="L3:M3"/>
    <mergeCell ref="D9:D13"/>
    <mergeCell ref="E9:E12"/>
    <mergeCell ref="H25:O25"/>
    <mergeCell ref="M8:M14"/>
    <mergeCell ref="H21:O21"/>
    <mergeCell ref="H46:O46"/>
    <mergeCell ref="A3:B3"/>
    <mergeCell ref="A5:A6"/>
    <mergeCell ref="Q9:Q12"/>
    <mergeCell ref="O9:O13"/>
    <mergeCell ref="B5:B6"/>
    <mergeCell ref="H37:O37"/>
    <mergeCell ref="F9:F12"/>
    <mergeCell ref="I18:O18"/>
    <mergeCell ref="H33:O33"/>
    <mergeCell ref="B8:B14"/>
    <mergeCell ref="H24:O24"/>
    <mergeCell ref="H42:O42"/>
    <mergeCell ref="M5:M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29"/>
  <sheetViews>
    <sheetView workbookViewId="0">
      <selection activeCell="A1" sqref="A1"/>
    </sheetView>
  </sheetViews>
  <sheetFormatPr baseColWidth="10" defaultColWidth="12.6640625" defaultRowHeight="15.75" customHeight="1"/>
  <cols>
    <col width="21.88671875" customWidth="1" style="53" min="1" max="1"/>
    <col width="14.88671875" customWidth="1" style="53" min="12" max="12"/>
    <col width="15.44140625" customWidth="1" style="53" min="13" max="13"/>
    <col width="21.44140625" customWidth="1" style="53" min="15" max="15"/>
    <col width="15.6640625" customWidth="1" style="53" min="19" max="19"/>
  </cols>
  <sheetData>
    <row r="1" ht="13.2" customHeight="1" s="53">
      <c r="A1" s="52" t="inlineStr">
        <is>
          <t>MÉTODO NRCS</t>
        </is>
      </c>
      <c r="C1" s="1" t="inlineStr">
        <is>
          <t>COMPLETAR</t>
        </is>
      </c>
    </row>
    <row r="2" ht="13.2" customHeight="1" s="53">
      <c r="A2" s="65" t="inlineStr">
        <is>
          <t>CUENCA GRANDE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 ht="13.2" customHeight="1" s="53">
      <c r="C3" s="67" t="n"/>
      <c r="G3" s="62" t="inlineStr">
        <is>
          <t>PARTE 1: TORMENTA DE DISEÑO</t>
        </is>
      </c>
      <c r="O3" s="62" t="inlineStr">
        <is>
          <t>PARTE 2: PRECIPITACIÓN EFECTIVA</t>
        </is>
      </c>
    </row>
    <row r="4" ht="13.2" customHeight="1" s="53">
      <c r="A4" s="67" t="n"/>
      <c r="B4" s="67" t="n"/>
      <c r="C4" s="67" t="n"/>
    </row>
    <row r="5" ht="13.2" customHeight="1" s="53">
      <c r="A5" s="67" t="inlineStr">
        <is>
          <t>Datos:</t>
        </is>
      </c>
      <c r="B5" s="67" t="n"/>
      <c r="C5" s="67" t="n"/>
      <c r="F5" s="14" t="n"/>
      <c r="G5" s="15" t="inlineStr">
        <is>
          <t>Duración (hs)</t>
        </is>
      </c>
      <c r="H5" s="15" t="inlineStr">
        <is>
          <t>CD</t>
        </is>
      </c>
      <c r="I5" s="15" t="inlineStr">
        <is>
          <t>CT</t>
        </is>
      </c>
      <c r="J5" s="15" t="inlineStr">
        <is>
          <t>CA</t>
        </is>
      </c>
      <c r="K5" s="15" t="inlineStr">
        <is>
          <t>P3,10,p (mm)</t>
        </is>
      </c>
      <c r="L5" s="15" t="inlineStr">
        <is>
          <t>Precipitación (mm)</t>
        </is>
      </c>
      <c r="M5" s="15" t="inlineStr">
        <is>
          <t>Incrementos (mm)</t>
        </is>
      </c>
      <c r="N5" s="15" t="inlineStr">
        <is>
          <t>Tormenta (mm)</t>
        </is>
      </c>
      <c r="O5" s="15" t="inlineStr">
        <is>
          <t>Tormenta Acumulada (mm)</t>
        </is>
      </c>
      <c r="P5" s="15" t="inlineStr">
        <is>
          <t>Pe (mm)</t>
        </is>
      </c>
      <c r="Q5" s="15" t="inlineStr">
        <is>
          <t>Inc. Pe (mm)</t>
        </is>
      </c>
      <c r="R5" s="15" t="inlineStr">
        <is>
          <t>Déficit (mm)</t>
        </is>
      </c>
      <c r="S5" s="15" t="inlineStr">
        <is>
          <t>Pe corregido (mm)</t>
        </is>
      </c>
    </row>
    <row r="6" ht="15.75" customHeight="1" s="53">
      <c r="A6" s="4" t="inlineStr">
        <is>
          <t>tc (hs)</t>
        </is>
      </c>
      <c r="B6" s="8">
        <f>(0.4*(D6^0.77))/D7^0.385</f>
        <v/>
      </c>
      <c r="C6" s="4" t="inlineStr">
        <is>
          <t>L (Km)</t>
        </is>
      </c>
      <c r="D6" s="17" t="n">
        <v>3.715</v>
      </c>
      <c r="F6" s="15" t="n">
        <v>1</v>
      </c>
      <c r="G6" s="18">
        <f>B6/7</f>
        <v/>
      </c>
      <c r="H6" s="19">
        <f>IF(G6&lt;=3,0.6208*G6/(G6+0.0137)^0.5639,1.0287*G6/(G6+1.0293)^0.8083)</f>
        <v/>
      </c>
      <c r="I6" s="18">
        <f>0.5786-0.4312*LOG10(LN($B$12/($B$12-1)))</f>
        <v/>
      </c>
      <c r="J6" s="20">
        <f>1-(0.3549*(G6^-0.4272))*(1-EXP(-0.005792*$B$8))</f>
        <v/>
      </c>
      <c r="K6" s="18">
        <f>$B$14</f>
        <v/>
      </c>
      <c r="L6" s="19">
        <f>H6*I6*J6*K6</f>
        <v/>
      </c>
      <c r="M6" s="19">
        <f>L6</f>
        <v/>
      </c>
      <c r="N6" s="19">
        <f>M17</f>
        <v/>
      </c>
      <c r="O6" s="19">
        <f>N6</f>
        <v/>
      </c>
      <c r="P6" s="18">
        <f>IF(O6&lt;=$B$22,0,(O6-$B$22)^2/(O6+0.8*$B$20))</f>
        <v/>
      </c>
      <c r="Q6" s="18">
        <f>P6</f>
        <v/>
      </c>
      <c r="R6" s="19">
        <f>IF((N6-Q6)&gt;$B$16*$G$6,N6-Q6,$B$16*$G$6)</f>
        <v/>
      </c>
      <c r="S6" s="19">
        <f>N6-R6</f>
        <v/>
      </c>
    </row>
    <row r="7" ht="15.75" customHeight="1" s="53">
      <c r="A7" s="72" t="n"/>
      <c r="B7" s="72" t="n"/>
      <c r="C7" s="4" t="inlineStr">
        <is>
          <t>S (%)</t>
        </is>
      </c>
      <c r="D7" s="5" t="n">
        <v>2.153432032301481</v>
      </c>
      <c r="F7" s="15" t="n">
        <v>2</v>
      </c>
      <c r="G7" s="18">
        <f>G6*2</f>
        <v/>
      </c>
      <c r="H7" s="19">
        <f>IF(G7&lt;=3,0.6208*G7/(G7+0.0137)^0.5639,1.0287*G7/(G7+1.0293)^0.8083)</f>
        <v/>
      </c>
      <c r="I7" s="18">
        <f>0.5786-0.4312*LOG10(LN($B$12/($B$12-1)))</f>
        <v/>
      </c>
      <c r="J7" s="20">
        <f>1-(0.3549*(G7^-0.4272))*(1-EXP(-0.005792*$B$8))</f>
        <v/>
      </c>
      <c r="K7" s="18">
        <f>$B$14</f>
        <v/>
      </c>
      <c r="L7" s="19">
        <f>H7*I7*J7*K7</f>
        <v/>
      </c>
      <c r="M7" s="19">
        <f>L7-L6</f>
        <v/>
      </c>
      <c r="N7" s="19">
        <f>M15</f>
        <v/>
      </c>
      <c r="O7" s="19">
        <f>SUM(N6:N7)</f>
        <v/>
      </c>
      <c r="P7" s="18">
        <f>IF(O7&lt;=$B$22,0,(O7-$B$22)^2/(O7+0.8*$B$20))</f>
        <v/>
      </c>
      <c r="Q7" s="18">
        <f>P7-P6</f>
        <v/>
      </c>
      <c r="R7" s="19">
        <f>IF((N7-Q7)&gt;$B$16*$G$6,N7-Q7,$B$16*$G$6)</f>
        <v/>
      </c>
      <c r="S7" s="19">
        <f>N7-R7</f>
        <v/>
      </c>
    </row>
    <row r="8" ht="15.75" customHeight="1" s="53">
      <c r="A8" s="4" t="inlineStr">
        <is>
          <t>Área (km2)</t>
        </is>
      </c>
      <c r="B8" s="5" t="n">
        <v>8.9</v>
      </c>
      <c r="F8" s="15" t="n">
        <v>3</v>
      </c>
      <c r="G8" s="18">
        <f>G6*3</f>
        <v/>
      </c>
      <c r="H8" s="19">
        <f>IF(G8&lt;=3,0.6208*G8/(G8+0.0137)^0.5639,1.0287*G8/(G8+1.0293)^0.8083)</f>
        <v/>
      </c>
      <c r="I8" s="18">
        <f>0.5786-0.4312*LOG10(LN($B$12/($B$12-1)))</f>
        <v/>
      </c>
      <c r="J8" s="20">
        <f>1-(0.3549*(G8^-0.4272))*(1-EXP(-0.005792*$B$8))</f>
        <v/>
      </c>
      <c r="K8" s="18">
        <f>$B$14</f>
        <v/>
      </c>
      <c r="L8" s="19">
        <f>H8*I8*J8*K8</f>
        <v/>
      </c>
      <c r="M8" s="19">
        <f>L8-L7</f>
        <v/>
      </c>
      <c r="N8" s="19">
        <f>M13</f>
        <v/>
      </c>
      <c r="O8" s="19">
        <f>SUM(N6:N8)</f>
        <v/>
      </c>
      <c r="P8" s="18">
        <f>IF(O8&lt;=$B$22,0,(O8-$B$22)^2/(O8+0.8*$B$20))</f>
        <v/>
      </c>
      <c r="Q8" s="18">
        <f>P8-P7</f>
        <v/>
      </c>
      <c r="R8" s="19">
        <f>IF((N8-Q8)&gt;$B$16*$G$6,N8-Q8,$B$16*$G$6)</f>
        <v/>
      </c>
      <c r="S8" s="19">
        <f>N8-R8</f>
        <v/>
      </c>
    </row>
    <row r="9" ht="15.75" customHeight="1" s="53">
      <c r="A9" s="72" t="n"/>
      <c r="B9" s="72" t="n"/>
      <c r="F9" s="15" t="n">
        <v>4</v>
      </c>
      <c r="G9" s="18">
        <f>G6*4</f>
        <v/>
      </c>
      <c r="H9" s="19">
        <f>IF(G9&lt;=3,0.6208*G9/(G9+0.0137)^0.5639,1.0287*G9/(G9+1.0293)^0.8083)</f>
        <v/>
      </c>
      <c r="I9" s="18">
        <f>0.5786-0.4312*LOG10(LN($B$12/($B$12-1)))</f>
        <v/>
      </c>
      <c r="J9" s="20">
        <f>1-(0.3549*(G9^-0.4272))*(1-EXP(-0.005792*$B$8))</f>
        <v/>
      </c>
      <c r="K9" s="18">
        <f>$B$14</f>
        <v/>
      </c>
      <c r="L9" s="19">
        <f>H9*I9*J9*K9</f>
        <v/>
      </c>
      <c r="M9" s="19">
        <f>L9-L8</f>
        <v/>
      </c>
      <c r="N9" s="19">
        <f>M11</f>
        <v/>
      </c>
      <c r="O9" s="19">
        <f>SUM(N6:N9)</f>
        <v/>
      </c>
      <c r="P9" s="18">
        <f>IF(O9&lt;=$B$22,0,(O9-$B$22)^2/(O9+0.8*$B$20))</f>
        <v/>
      </c>
      <c r="Q9" s="18">
        <f>P9-P8</f>
        <v/>
      </c>
      <c r="R9" s="19">
        <f>IF((N9-Q9)&gt;$B$16*$G$6,N9-Q9,$B$16*$G$6)</f>
        <v/>
      </c>
      <c r="S9" s="19">
        <f>N9-R9</f>
        <v/>
      </c>
    </row>
    <row r="10" ht="15.75" customHeight="1" s="53">
      <c r="A10" s="4" t="inlineStr">
        <is>
          <t>Duración total (hs)</t>
        </is>
      </c>
      <c r="B10" s="8">
        <f>B6*12/7</f>
        <v/>
      </c>
      <c r="F10" s="15" t="n">
        <v>5</v>
      </c>
      <c r="G10" s="18">
        <f>G6*5</f>
        <v/>
      </c>
      <c r="H10" s="19">
        <f>IF(G10&lt;=3,0.6208*G10/(G10+0.0137)^0.5639,1.0287*G10/(G10+1.0293)^0.8083)</f>
        <v/>
      </c>
      <c r="I10" s="18">
        <f>0.5786-0.4312*LOG10(LN($B$12/($B$12-1)))</f>
        <v/>
      </c>
      <c r="J10" s="20">
        <f>1-(0.3549*(G10^-0.4272))*(1-EXP(-0.005792*$B$8))</f>
        <v/>
      </c>
      <c r="K10" s="18">
        <f>$B$14</f>
        <v/>
      </c>
      <c r="L10" s="19">
        <f>H10*I10*J10*K10</f>
        <v/>
      </c>
      <c r="M10" s="19">
        <f>L10-L9</f>
        <v/>
      </c>
      <c r="N10" s="19">
        <f>M9</f>
        <v/>
      </c>
      <c r="O10" s="19">
        <f>SUM(N6:N10)</f>
        <v/>
      </c>
      <c r="P10" s="18">
        <f>IF(O10&lt;=$B$22,0,(O10-$B$22)^2/(O10+0.8*$B$20))</f>
        <v/>
      </c>
      <c r="Q10" s="18">
        <f>P10-P9</f>
        <v/>
      </c>
      <c r="R10" s="19">
        <f>IF((N10-Q10)&gt;$B$16*$G$6,N10-Q10,$B$16*$G$6)</f>
        <v/>
      </c>
      <c r="S10" s="19">
        <f>N10-R10</f>
        <v/>
      </c>
    </row>
    <row r="11" ht="15.75" customHeight="1" s="53">
      <c r="A11" s="72" t="n"/>
      <c r="B11" s="72" t="n"/>
      <c r="F11" s="15" t="n">
        <v>6</v>
      </c>
      <c r="G11" s="18">
        <f>G6*6</f>
        <v/>
      </c>
      <c r="H11" s="19">
        <f>IF(G11&lt;=3,0.6208*G11/(G11+0.0137)^0.5639,1.0287*G11/(G11+1.0293)^0.8083)</f>
        <v/>
      </c>
      <c r="I11" s="18">
        <f>0.5786-0.4312*LOG10(LN($B$12/($B$12-1)))</f>
        <v/>
      </c>
      <c r="J11" s="20">
        <f>1-(0.3549*(G11^-0.4272))*(1-EXP(-0.005792*$B$8))</f>
        <v/>
      </c>
      <c r="K11" s="18">
        <f>$B$14</f>
        <v/>
      </c>
      <c r="L11" s="19">
        <f>H11*I11*J11*K11</f>
        <v/>
      </c>
      <c r="M11" s="19">
        <f>L11-L10</f>
        <v/>
      </c>
      <c r="N11" s="19">
        <f>M7</f>
        <v/>
      </c>
      <c r="O11" s="19">
        <f>SUM(N6:N11)</f>
        <v/>
      </c>
      <c r="P11" s="18">
        <f>IF(O11&lt;=$B$22,0,(O11-$B$22)^2/(O11+0.8*$B$20))</f>
        <v/>
      </c>
      <c r="Q11" s="18">
        <f>P11-P10</f>
        <v/>
      </c>
      <c r="R11" s="19">
        <f>IF((N11-Q11)&gt;$B$16*$G$6,N11-Q11,$B$16*$G$6)</f>
        <v/>
      </c>
      <c r="S11" s="19">
        <f>N11-R11</f>
        <v/>
      </c>
    </row>
    <row r="12" ht="15.75" customHeight="1" s="53">
      <c r="A12" s="4" t="inlineStr">
        <is>
          <t>Período de retorno Tr (años)</t>
        </is>
      </c>
      <c r="B12" s="17" t="n">
        <v>10</v>
      </c>
      <c r="F12" s="15" t="n">
        <v>7</v>
      </c>
      <c r="G12" s="21">
        <f>G6*7</f>
        <v/>
      </c>
      <c r="H12" s="22">
        <f>IF(G12&lt;=3,0.6208*G12/(G12+0.0137)^0.5639,1.0287*G12/(G12+1.0293)^0.8083)</f>
        <v/>
      </c>
      <c r="I12" s="21">
        <f>0.5786-0.4312*LOG10(LN($B$12/($B$12-1)))</f>
        <v/>
      </c>
      <c r="J12" s="23">
        <f>1-(0.3549*(G12^-0.4272))*(1-EXP(-0.005792*$B$8))</f>
        <v/>
      </c>
      <c r="K12" s="21">
        <f>$B$14</f>
        <v/>
      </c>
      <c r="L12" s="22">
        <f>H12*I12*J12*K12</f>
        <v/>
      </c>
      <c r="M12" s="22">
        <f>L12-L11</f>
        <v/>
      </c>
      <c r="N12" s="22">
        <f>M6</f>
        <v/>
      </c>
      <c r="O12" s="22">
        <f>SUM(N6:N12)</f>
        <v/>
      </c>
      <c r="P12" s="21">
        <f>IF(O12&lt;=$B$22,0,(O12-$B$22)^2/(O12+0.8*$B$20))</f>
        <v/>
      </c>
      <c r="Q12" s="21">
        <f>P12-P11</f>
        <v/>
      </c>
      <c r="R12" s="21">
        <f>IF((N12-Q12)&gt;$B$16*$G$6,N12-Q12,$B$16*$G$6)</f>
        <v/>
      </c>
      <c r="S12" s="22">
        <f>N12-R12</f>
        <v/>
      </c>
    </row>
    <row r="13" ht="15.75" customHeight="1" s="53">
      <c r="A13" s="72" t="n"/>
      <c r="B13" s="72" t="n"/>
      <c r="F13" s="15" t="n">
        <v>8</v>
      </c>
      <c r="G13" s="18">
        <f>G6*8</f>
        <v/>
      </c>
      <c r="H13" s="19">
        <f>IF(G13&lt;=3,0.6208*G13/(G13+0.0137)^0.5639,1.0287*G13/(G13+1.0293)^0.8083)</f>
        <v/>
      </c>
      <c r="I13" s="18">
        <f>0.5786-0.4312*LOG10(LN($B$12/($B$12-1)))</f>
        <v/>
      </c>
      <c r="J13" s="20">
        <f>1-(0.3549*(G13^-0.4272))*(1-EXP(-0.005792*$B$8))</f>
        <v/>
      </c>
      <c r="K13" s="18">
        <f>$B$14</f>
        <v/>
      </c>
      <c r="L13" s="19">
        <f>H13*I13*J13*K13</f>
        <v/>
      </c>
      <c r="M13" s="19">
        <f>L13-L12</f>
        <v/>
      </c>
      <c r="N13" s="19">
        <f>M8</f>
        <v/>
      </c>
      <c r="O13" s="19">
        <f>SUM(N6:N13)</f>
        <v/>
      </c>
      <c r="P13" s="18">
        <f>IF(O13&lt;=$B$22,0,(O13-$B$22)^2/(O13+0.8*$B$20))</f>
        <v/>
      </c>
      <c r="Q13" s="18">
        <f>P13-P12</f>
        <v/>
      </c>
      <c r="R13" s="19">
        <f>IF((N13-Q13)&gt;$B$16*$G$6,N13-Q13,$B$16*$G$6)</f>
        <v/>
      </c>
      <c r="S13" s="19">
        <f>N13-R13</f>
        <v/>
      </c>
    </row>
    <row r="14" ht="15.75" customHeight="1" s="53">
      <c r="A14" s="4" t="inlineStr">
        <is>
          <t>P3,10,p (mm)</t>
        </is>
      </c>
      <c r="B14" s="17" t="n">
        <v>98</v>
      </c>
      <c r="F14" s="15" t="n">
        <v>9</v>
      </c>
      <c r="G14" s="18">
        <f>G6*9</f>
        <v/>
      </c>
      <c r="H14" s="19">
        <f>IF(G14&lt;=3,0.6208*G14/(G14+0.0137)^0.5639,1.0287*G14/(G14+1.0293)^0.8083)</f>
        <v/>
      </c>
      <c r="I14" s="18">
        <f>0.5786-0.4312*LOG10(LN($B$12/($B$12-1)))</f>
        <v/>
      </c>
      <c r="J14" s="20">
        <f>1-(0.3549*(G14^-0.4272))*(1-EXP(-0.005792*$B$8))</f>
        <v/>
      </c>
      <c r="K14" s="18">
        <f>$B$14</f>
        <v/>
      </c>
      <c r="L14" s="19">
        <f>H14*I14*J14*K14</f>
        <v/>
      </c>
      <c r="M14" s="19">
        <f>L14-L13</f>
        <v/>
      </c>
      <c r="N14" s="19">
        <f>M10</f>
        <v/>
      </c>
      <c r="O14" s="19">
        <f>SUM(N6:N14)</f>
        <v/>
      </c>
      <c r="P14" s="18">
        <f>IF(O14&lt;=$B$22,0,(O14-$B$22)^2/(O14+0.8*$B$20))</f>
        <v/>
      </c>
      <c r="Q14" s="18">
        <f>P14-P13</f>
        <v/>
      </c>
      <c r="R14" s="19">
        <f>IF((N14-Q14)&gt;$B$16*$G$6,N14-Q14,$B$16*$G$6)</f>
        <v/>
      </c>
      <c r="S14" s="19">
        <f>N14-R14</f>
        <v/>
      </c>
    </row>
    <row r="15" ht="15.75" customHeight="1" s="53">
      <c r="A15" s="72" t="n"/>
      <c r="B15" s="72" t="n"/>
      <c r="F15" s="15" t="n">
        <v>10</v>
      </c>
      <c r="G15" s="18">
        <f>G6*10</f>
        <v/>
      </c>
      <c r="H15" s="19">
        <f>IF(G15&lt;=3,0.6208*G15/(G15+0.0137)^0.5639,1.0287*G15/(G15+1.0293)^0.8083)</f>
        <v/>
      </c>
      <c r="I15" s="18">
        <f>0.5786-0.4312*LOG10(LN($B$12/($B$12-1)))</f>
        <v/>
      </c>
      <c r="J15" s="20">
        <f>1-(0.3549*(G15^-0.4272))*(1-EXP(-0.005792*$B$8))</f>
        <v/>
      </c>
      <c r="K15" s="18">
        <f>$B$14</f>
        <v/>
      </c>
      <c r="L15" s="19">
        <f>H15*I15*J15*K15</f>
        <v/>
      </c>
      <c r="M15" s="19">
        <f>L15-L14</f>
        <v/>
      </c>
      <c r="N15" s="19">
        <f>M12</f>
        <v/>
      </c>
      <c r="O15" s="19">
        <f>SUM(N6:N15)</f>
        <v/>
      </c>
      <c r="P15" s="18">
        <f>IF(O15&lt;=$B$22,0,(O15-$B$22)^2/(O15+0.8*$B$20))</f>
        <v/>
      </c>
      <c r="Q15" s="18">
        <f>P15-P14</f>
        <v/>
      </c>
      <c r="R15" s="19">
        <f>IF((N15-Q15)&gt;$B$16*$G$6,N15-Q15,$B$16*$G$6)</f>
        <v/>
      </c>
      <c r="S15" s="19">
        <f>N15-R15</f>
        <v/>
      </c>
    </row>
    <row r="16" ht="15.75" customHeight="1" s="53">
      <c r="A16" s="4" t="inlineStr">
        <is>
          <t>Grupo Hidrológico</t>
        </is>
      </c>
      <c r="B16" s="17" t="n">
        <v>1.2</v>
      </c>
      <c r="C16" s="4" t="inlineStr">
        <is>
          <t>A</t>
        </is>
      </c>
      <c r="D16" s="4" t="inlineStr">
        <is>
          <t>2.4 mm/h</t>
        </is>
      </c>
      <c r="F16" s="15" t="n">
        <v>11</v>
      </c>
      <c r="G16" s="18">
        <f>G6*11</f>
        <v/>
      </c>
      <c r="H16" s="19">
        <f>IF(G16&lt;=3,0.6208*G16/(G16+0.0137)^0.5639,1.0287*G16/(G16+1.0293)^0.8083)</f>
        <v/>
      </c>
      <c r="I16" s="18">
        <f>0.5786-0.4312*LOG10(LN($B$12/($B$12-1)))</f>
        <v/>
      </c>
      <c r="J16" s="20">
        <f>1-(0.3549*(G16^-0.4272))*(1-EXP(-0.005792*$B$8))</f>
        <v/>
      </c>
      <c r="K16" s="18">
        <f>$B$14</f>
        <v/>
      </c>
      <c r="L16" s="19">
        <f>H16*I16*J16*K16</f>
        <v/>
      </c>
      <c r="M16" s="19">
        <f>L16-L15</f>
        <v/>
      </c>
      <c r="N16" s="19">
        <f>M14</f>
        <v/>
      </c>
      <c r="O16" s="19">
        <f>SUM(N6:N16)</f>
        <v/>
      </c>
      <c r="P16" s="18">
        <f>IF(O16&lt;=$B$22,0,(O16-$B$22)^2/(O16+0.8*$B$20))</f>
        <v/>
      </c>
      <c r="Q16" s="18">
        <f>P16-P15</f>
        <v/>
      </c>
      <c r="R16" s="19">
        <f>IF((N16-Q16)&gt;$B$16*$G$6,N16-Q16,$B$16*$G$6)</f>
        <v/>
      </c>
      <c r="S16" s="19">
        <f>N16-R16</f>
        <v/>
      </c>
    </row>
    <row r="17" ht="15.75" customHeight="1" s="53">
      <c r="A17" s="72" t="n"/>
      <c r="B17" s="72" t="n"/>
      <c r="C17" s="4" t="inlineStr">
        <is>
          <t>B,C,D</t>
        </is>
      </c>
      <c r="D17" s="4" t="inlineStr">
        <is>
          <t>1.2 mm/h</t>
        </is>
      </c>
      <c r="F17" s="15" t="n">
        <v>12</v>
      </c>
      <c r="G17" s="18">
        <f>G6*12</f>
        <v/>
      </c>
      <c r="H17" s="19">
        <f>IF(G17&lt;=3,0.6208*G17/(G17+0.0137)^0.5639,1.0287*G17/(G17+1.0293)^0.8083)</f>
        <v/>
      </c>
      <c r="I17" s="18">
        <f>0.5786-0.4312*LOG10(LN($B$12/($B$12-1)))</f>
        <v/>
      </c>
      <c r="J17" s="20">
        <f>1-(0.3549*(G17^-0.4272))*(1-EXP(-0.005792*$B$8))</f>
        <v/>
      </c>
      <c r="K17" s="18">
        <f>$B$14</f>
        <v/>
      </c>
      <c r="L17" s="19">
        <f>H17*I17*J17*K17</f>
        <v/>
      </c>
      <c r="M17" s="19">
        <f>L17-L16</f>
        <v/>
      </c>
      <c r="N17" s="19">
        <f>M16</f>
        <v/>
      </c>
      <c r="O17" s="19">
        <f>SUM(N6:N17)</f>
        <v/>
      </c>
      <c r="P17" s="18">
        <f>IF(O17&lt;=$B$22,0,(O17-$B$22)^2/(O17+0.8*$B$20))</f>
        <v/>
      </c>
      <c r="Q17" s="18">
        <f>P17-P16</f>
        <v/>
      </c>
      <c r="R17" s="19">
        <f>IF((N17-Q17)&gt;$B$16*$G$6,N17-Q17,$B$16*$G$6)</f>
        <v/>
      </c>
      <c r="S17" s="19">
        <f>N17-R17</f>
        <v/>
      </c>
    </row>
    <row r="18" ht="13.2" customHeight="1" s="53">
      <c r="A18" s="4" t="inlineStr">
        <is>
          <t>NC</t>
        </is>
      </c>
      <c r="B18" s="17" t="n">
        <v>80</v>
      </c>
      <c r="G18" s="67" t="n"/>
      <c r="H18" s="67" t="n"/>
      <c r="I18" s="67" t="n"/>
      <c r="J18" s="67" t="n"/>
      <c r="K18" s="67" t="n"/>
      <c r="L18" s="67" t="n"/>
      <c r="M18" s="67" t="n"/>
      <c r="N18" s="67" t="n"/>
    </row>
    <row r="19" ht="13.2" customHeight="1" s="53">
      <c r="A19" s="72" t="n"/>
      <c r="B19" s="72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70" t="inlineStr">
        <is>
          <t> </t>
        </is>
      </c>
    </row>
    <row r="20" ht="13.2" customHeight="1" s="53">
      <c r="A20" s="4" t="inlineStr">
        <is>
          <t>S (mm)</t>
        </is>
      </c>
      <c r="B20" s="35">
        <f>25.4*((1000/B18)-10)</f>
        <v/>
      </c>
      <c r="C20" s="70" t="inlineStr">
        <is>
          <t>Almacenamiento máximo del suelo en la cuenca</t>
        </is>
      </c>
      <c r="G20" s="67" t="n"/>
      <c r="H20" s="67" t="n"/>
      <c r="I20" s="67" t="n"/>
      <c r="J20" s="67" t="n"/>
      <c r="K20" s="67" t="n"/>
      <c r="L20" s="67" t="n"/>
      <c r="M20" s="67" t="n"/>
      <c r="N20" s="67" t="n"/>
    </row>
    <row r="21" ht="13.2" customHeight="1" s="53">
      <c r="A21" s="72" t="n"/>
      <c r="B21" s="72" t="n"/>
      <c r="G21" s="67" t="n"/>
      <c r="H21" s="67" t="n"/>
      <c r="I21" s="67" t="n"/>
      <c r="J21" s="67" t="n"/>
      <c r="K21" s="67" t="n"/>
      <c r="L21" s="67" t="n"/>
      <c r="M21" s="67" t="n"/>
      <c r="N21" s="67" t="n"/>
    </row>
    <row r="22" ht="13.2" customHeight="1" s="53">
      <c r="A22" s="4" t="inlineStr">
        <is>
          <t>Ia (mm)</t>
        </is>
      </c>
      <c r="B22" s="35">
        <f>0.2*B20</f>
        <v/>
      </c>
      <c r="C22" s="70" t="inlineStr">
        <is>
          <t>Abstracción inicial</t>
        </is>
      </c>
      <c r="G22" s="67" t="n"/>
      <c r="H22" s="67" t="n"/>
      <c r="I22" s="67" t="n"/>
      <c r="J22" s="67" t="n"/>
      <c r="K22" s="67" t="n"/>
      <c r="L22" s="67" t="n"/>
      <c r="M22" s="67" t="n"/>
      <c r="N22" s="67" t="n"/>
    </row>
    <row r="23" ht="13.2" customHeight="1" s="53">
      <c r="A23" s="72" t="n"/>
      <c r="B23" s="72" t="n"/>
    </row>
    <row r="38" ht="13.2" customHeight="1" s="53">
      <c r="A38" s="62" t="inlineStr">
        <is>
          <t>PARTE 3: HIDROGRAMA UNITARIO</t>
        </is>
      </c>
    </row>
    <row r="40" ht="13.2" customHeight="1" s="53">
      <c r="A40" s="4" t="inlineStr">
        <is>
          <t>tr (hs)</t>
        </is>
      </c>
      <c r="B40" s="35">
        <f>B6/7</f>
        <v/>
      </c>
      <c r="D40" s="15" t="inlineStr">
        <is>
          <t>N°</t>
        </is>
      </c>
      <c r="E40" s="14" t="inlineStr">
        <is>
          <t>XHU</t>
        </is>
      </c>
      <c r="F40" s="14" t="inlineStr">
        <is>
          <t>YHU</t>
        </is>
      </c>
      <c r="G40" s="14" t="inlineStr">
        <is>
          <t>PE1</t>
        </is>
      </c>
      <c r="H40" s="14" t="inlineStr">
        <is>
          <t>PE2</t>
        </is>
      </c>
      <c r="I40" s="14" t="inlineStr">
        <is>
          <t>PE3</t>
        </is>
      </c>
      <c r="J40" s="14" t="inlineStr">
        <is>
          <t>PE4</t>
        </is>
      </c>
      <c r="K40" s="14" t="inlineStr">
        <is>
          <t>PE5</t>
        </is>
      </c>
      <c r="L40" s="14" t="inlineStr">
        <is>
          <t>PE6</t>
        </is>
      </c>
      <c r="M40" s="14" t="inlineStr">
        <is>
          <t>PE7</t>
        </is>
      </c>
      <c r="N40" s="14" t="inlineStr">
        <is>
          <t>PE8</t>
        </is>
      </c>
      <c r="O40" s="14" t="inlineStr">
        <is>
          <t>PE9</t>
        </is>
      </c>
      <c r="P40" s="14" t="inlineStr">
        <is>
          <t>PE10</t>
        </is>
      </c>
      <c r="Q40" s="14" t="inlineStr">
        <is>
          <t>PE11</t>
        </is>
      </c>
      <c r="R40" s="14" t="inlineStr">
        <is>
          <t>PE12</t>
        </is>
      </c>
      <c r="S40" s="25" t="inlineStr">
        <is>
          <t xml:space="preserve">Qtot </t>
        </is>
      </c>
      <c r="T40" s="26" t="inlineStr">
        <is>
          <t>Qmax</t>
        </is>
      </c>
    </row>
    <row r="41" ht="13.2" customHeight="1" s="53">
      <c r="A41" s="72" t="n"/>
      <c r="B41" s="72" t="n"/>
      <c r="D41" s="25" t="n">
        <v>0</v>
      </c>
      <c r="E41" s="27">
        <f>D41*($B$40/8)</f>
        <v/>
      </c>
      <c r="F41" s="28">
        <f>IF($B$42&gt;E41,$C$48*E41,$C$50*E41+$C$51)</f>
        <v/>
      </c>
      <c r="G41" s="29">
        <f>$S$6*F41</f>
        <v/>
      </c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28">
        <f>SUM(G41:R41)</f>
        <v/>
      </c>
      <c r="T41" s="31">
        <f>MAX(S41:S229)</f>
        <v/>
      </c>
    </row>
    <row r="42" ht="13.2" customHeight="1" s="53">
      <c r="A42" s="4" t="inlineStr">
        <is>
          <t>Tp (hs)</t>
        </is>
      </c>
      <c r="B42" s="35">
        <f>B40/2+0.6*$B$6</f>
        <v/>
      </c>
      <c r="D42" s="32" t="n">
        <v>1</v>
      </c>
      <c r="E42" s="27">
        <f>D42*($B$40/8)</f>
        <v/>
      </c>
      <c r="F42" s="28">
        <f>IF($B$42&gt;E42,$C$48*E42,$C$50*E42+$C$51)</f>
        <v/>
      </c>
      <c r="G42" s="29">
        <f>$S$6*F42</f>
        <v/>
      </c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3">
        <f>SUM(G42:R42)</f>
        <v/>
      </c>
    </row>
    <row r="43" ht="13.2" customHeight="1" s="53">
      <c r="A43" s="72" t="n"/>
      <c r="B43" s="72" t="n"/>
      <c r="D43" s="32" t="n">
        <v>2</v>
      </c>
      <c r="E43" s="27">
        <f>D43*($B$40/8)</f>
        <v/>
      </c>
      <c r="F43" s="28">
        <f>IF($B$42&gt;E43,$C$48*E43,$C$50*E43+$C$51)</f>
        <v/>
      </c>
      <c r="G43" s="29">
        <f>$S$6*F43</f>
        <v/>
      </c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3">
        <f>SUM(G43:R43)</f>
        <v/>
      </c>
    </row>
    <row r="44" ht="13.2" customHeight="1" s="53">
      <c r="A44" s="4" t="inlineStr">
        <is>
          <t>Tb (hs)</t>
        </is>
      </c>
      <c r="B44" s="35">
        <f>B42*2.667</f>
        <v/>
      </c>
      <c r="D44" s="32" t="n">
        <v>3</v>
      </c>
      <c r="E44" s="27">
        <f>D44*($B$40/8)</f>
        <v/>
      </c>
      <c r="F44" s="28">
        <f>IF($B$42&gt;E44,$C$48*E44,$C$50*E44+$C$51)</f>
        <v/>
      </c>
      <c r="G44" s="29">
        <f>$S$6*F44</f>
        <v/>
      </c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3">
        <f>SUM(G44:R44)</f>
        <v/>
      </c>
    </row>
    <row r="45" ht="13.2" customHeight="1" s="53">
      <c r="A45" s="72" t="n"/>
      <c r="B45" s="72" t="n"/>
      <c r="D45" s="32" t="n">
        <v>4</v>
      </c>
      <c r="E45" s="27">
        <f>D45*($B$40/8)</f>
        <v/>
      </c>
      <c r="F45" s="28">
        <f>IF($B$42&gt;E45,$C$48*E45,$C$50*E45+$C$51)</f>
        <v/>
      </c>
      <c r="G45" s="29">
        <f>$S$6*F45</f>
        <v/>
      </c>
      <c r="H45" s="34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3">
        <f>SUM(G45:R45)</f>
        <v/>
      </c>
    </row>
    <row r="46" ht="13.2" customHeight="1" s="53">
      <c r="A46" s="4" t="inlineStr">
        <is>
          <t>qp (m^3/s/cm)</t>
        </is>
      </c>
      <c r="B46" s="35">
        <f>2.08*B8/B42</f>
        <v/>
      </c>
      <c r="D46" s="32" t="n">
        <v>5</v>
      </c>
      <c r="E46" s="27">
        <f>D46*($B$40/8)</f>
        <v/>
      </c>
      <c r="F46" s="28">
        <f>IF($B$42&gt;E46,$C$48*E46,$C$50*E46+$C$51)</f>
        <v/>
      </c>
      <c r="G46" s="29">
        <f>$S$6*F46</f>
        <v/>
      </c>
      <c r="H46" s="34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3">
        <f>SUM(G46:R46)</f>
        <v/>
      </c>
    </row>
    <row r="47" ht="13.2" customHeight="1" s="53">
      <c r="A47" s="72" t="n"/>
      <c r="B47" s="72" t="n"/>
      <c r="D47" s="32" t="n">
        <v>6</v>
      </c>
      <c r="E47" s="27">
        <f>D47*($B$40/8)</f>
        <v/>
      </c>
      <c r="F47" s="28">
        <f>IF($B$42&gt;E47,$C$48*E47,$C$50*E47+$C$51)</f>
        <v/>
      </c>
      <c r="G47" s="29">
        <f>$S$6*F47</f>
        <v/>
      </c>
      <c r="H47" s="34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3">
        <f>SUM(G47:R47)</f>
        <v/>
      </c>
    </row>
    <row r="48" ht="13.2" customHeight="1" s="53">
      <c r="A48" s="4" t="inlineStr">
        <is>
          <t>Ec. recta 1</t>
        </is>
      </c>
      <c r="B48" s="35" t="inlineStr">
        <is>
          <t>a</t>
        </is>
      </c>
      <c r="C48" s="36">
        <f>(B46/10)/B42</f>
        <v/>
      </c>
      <c r="D48" s="32" t="n">
        <v>7</v>
      </c>
      <c r="E48" s="27">
        <f>D48*($B$40/8)</f>
        <v/>
      </c>
      <c r="F48" s="28">
        <f>IF($B$42&gt;E48,$C$48*E48,$C$50*E48+$C$51)</f>
        <v/>
      </c>
      <c r="G48" s="29">
        <f>$S$6*F48</f>
        <v/>
      </c>
      <c r="H48" s="34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3">
        <f>SUM(G48:R48)</f>
        <v/>
      </c>
    </row>
    <row r="49" ht="13.2" customHeight="1" s="53">
      <c r="A49" s="72" t="n"/>
      <c r="B49" s="35" t="inlineStr">
        <is>
          <t>b</t>
        </is>
      </c>
      <c r="C49" s="36" t="n">
        <v>0</v>
      </c>
      <c r="D49" s="32" t="n">
        <v>8</v>
      </c>
      <c r="E49" s="27">
        <f>D49*($B$40/8)</f>
        <v/>
      </c>
      <c r="F49" s="28">
        <f>IF($B$42&gt;E49,$C$48*E49,$C$50*E49+$C$51)</f>
        <v/>
      </c>
      <c r="G49" s="29">
        <f>$S$6*F49</f>
        <v/>
      </c>
      <c r="H49" s="34">
        <f>F41*$S$7</f>
        <v/>
      </c>
      <c r="I49" s="34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3">
        <f>SUM(G49:R49)</f>
        <v/>
      </c>
    </row>
    <row r="50" ht="13.2" customHeight="1" s="53">
      <c r="A50" s="4" t="inlineStr">
        <is>
          <t>Ec. recta 2</t>
        </is>
      </c>
      <c r="B50" s="35" t="inlineStr">
        <is>
          <t>c</t>
        </is>
      </c>
      <c r="C50" s="36">
        <f>-(B46/10)/(1.67*B42)</f>
        <v/>
      </c>
      <c r="D50" s="32" t="n">
        <v>9</v>
      </c>
      <c r="E50" s="27">
        <f>D50*($B$40/8)</f>
        <v/>
      </c>
      <c r="F50" s="28">
        <f>IF($B$42&gt;E50,$C$48*E50,$C$50*E50+$C$51)</f>
        <v/>
      </c>
      <c r="G50" s="29">
        <f>$S$6*F50</f>
        <v/>
      </c>
      <c r="H50" s="34">
        <f>F42*$S$7</f>
        <v/>
      </c>
      <c r="I50" s="34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3">
        <f>SUM(G50:R50)</f>
        <v/>
      </c>
    </row>
    <row r="51" ht="13.2" customHeight="1" s="53">
      <c r="A51" s="72" t="n"/>
      <c r="B51" s="35" t="inlineStr">
        <is>
          <t>d</t>
        </is>
      </c>
      <c r="C51" s="18">
        <f>B46/10+((B46/10)/1.67)</f>
        <v/>
      </c>
      <c r="D51" s="32" t="n">
        <v>10</v>
      </c>
      <c r="E51" s="27">
        <f>D51*($B$40/8)</f>
        <v/>
      </c>
      <c r="F51" s="28">
        <f>IF($B$42&gt;E51,$C$48*E51,$C$50*E51+$C$51)</f>
        <v/>
      </c>
      <c r="G51" s="29">
        <f>$S$6*F51</f>
        <v/>
      </c>
      <c r="H51" s="34">
        <f>F43*$S$7</f>
        <v/>
      </c>
      <c r="I51" s="34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3">
        <f>SUM(G51:R51)</f>
        <v/>
      </c>
    </row>
    <row r="52" ht="13.2" customHeight="1" s="53">
      <c r="A52" s="59" t="n"/>
      <c r="B52" s="60" t="n"/>
      <c r="D52" s="32" t="n">
        <v>11</v>
      </c>
      <c r="E52" s="27">
        <f>D52*($B$40/8)</f>
        <v/>
      </c>
      <c r="F52" s="28">
        <f>IF($B$42&gt;E52,$C$48*E52,$C$50*E52+$C$51)</f>
        <v/>
      </c>
      <c r="G52" s="29">
        <f>$S$6*F52</f>
        <v/>
      </c>
      <c r="H52" s="34">
        <f>F44*$S$7</f>
        <v/>
      </c>
      <c r="I52" s="34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3">
        <f>SUM(G52:R52)</f>
        <v/>
      </c>
    </row>
    <row r="53" ht="13.2" customHeight="1" s="53">
      <c r="D53" s="32" t="n">
        <v>12</v>
      </c>
      <c r="E53" s="27">
        <f>D53*($B$40/8)</f>
        <v/>
      </c>
      <c r="F53" s="28">
        <f>IF($B$42&gt;E53,$C$48*E53,$C$50*E53+$C$51)</f>
        <v/>
      </c>
      <c r="G53" s="29">
        <f>$S$6*F53</f>
        <v/>
      </c>
      <c r="H53" s="34">
        <f>F45*$S$7</f>
        <v/>
      </c>
      <c r="I53" s="34" t="n"/>
      <c r="J53" s="37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3">
        <f>SUM(G53:R53)</f>
        <v/>
      </c>
    </row>
    <row r="54" ht="13.2" customHeight="1" s="53">
      <c r="D54" s="32" t="n">
        <v>13</v>
      </c>
      <c r="E54" s="27">
        <f>D54*($B$40/8)</f>
        <v/>
      </c>
      <c r="F54" s="28">
        <f>IF($B$42&gt;E54,$C$48*E54,$C$50*E54+$C$51)</f>
        <v/>
      </c>
      <c r="G54" s="29">
        <f>$S$6*F54</f>
        <v/>
      </c>
      <c r="H54" s="34">
        <f>F46*$S$7</f>
        <v/>
      </c>
      <c r="I54" s="34" t="n"/>
      <c r="J54" s="37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3">
        <f>SUM(G54:R54)</f>
        <v/>
      </c>
    </row>
    <row r="55" ht="13.2" customHeight="1" s="53">
      <c r="D55" s="32" t="n">
        <v>14</v>
      </c>
      <c r="E55" s="27">
        <f>D55*($B$40/8)</f>
        <v/>
      </c>
      <c r="F55" s="28">
        <f>IF($B$42&gt;E55,$C$48*E55,$C$50*E55+$C$51)</f>
        <v/>
      </c>
      <c r="G55" s="29">
        <f>$S$6*F55</f>
        <v/>
      </c>
      <c r="H55" s="34">
        <f>F47*$S$7</f>
        <v/>
      </c>
      <c r="I55" s="34" t="n"/>
      <c r="J55" s="37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3">
        <f>SUM(G55:R55)</f>
        <v/>
      </c>
    </row>
    <row r="56" ht="13.2" customHeight="1" s="53">
      <c r="D56" s="32" t="n">
        <v>15</v>
      </c>
      <c r="E56" s="27">
        <f>D56*($B$40/8)</f>
        <v/>
      </c>
      <c r="F56" s="28">
        <f>IF($B$42&gt;E56,$C$48*E56,$C$50*E56+$C$51)</f>
        <v/>
      </c>
      <c r="G56" s="29">
        <f>$S$6*F56</f>
        <v/>
      </c>
      <c r="H56" s="34">
        <f>F48*$S$7</f>
        <v/>
      </c>
      <c r="I56" s="34" t="n"/>
      <c r="J56" s="37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3">
        <f>SUM(G56:R56)</f>
        <v/>
      </c>
    </row>
    <row r="57" ht="13.2" customHeight="1" s="53">
      <c r="D57" s="32" t="n">
        <v>16</v>
      </c>
      <c r="E57" s="27">
        <f>D57*($B$40/8)</f>
        <v/>
      </c>
      <c r="F57" s="28">
        <f>IF($B$42&gt;E57,$C$48*E57,$C$50*E57+$C$51)</f>
        <v/>
      </c>
      <c r="G57" s="29">
        <f>$S$6*F57</f>
        <v/>
      </c>
      <c r="H57" s="34">
        <f>F49*$S$7</f>
        <v/>
      </c>
      <c r="I57" s="34">
        <f>$S$8*F41</f>
        <v/>
      </c>
      <c r="J57" s="37" t="n"/>
      <c r="K57" s="34" t="n"/>
      <c r="L57" s="30" t="n"/>
      <c r="M57" s="30" t="n"/>
      <c r="N57" s="30" t="n"/>
      <c r="O57" s="30" t="n"/>
      <c r="P57" s="30" t="n"/>
      <c r="Q57" s="30" t="n"/>
      <c r="R57" s="30" t="n"/>
      <c r="S57" s="33">
        <f>SUM(G57:R57)</f>
        <v/>
      </c>
    </row>
    <row r="58" ht="13.2" customHeight="1" s="53">
      <c r="D58" s="32" t="n">
        <v>17</v>
      </c>
      <c r="E58" s="27">
        <f>D58*($B$40/8)</f>
        <v/>
      </c>
      <c r="F58" s="28">
        <f>IF($B$42&gt;E58,$C$48*E58,$C$50*E58+$C$51)</f>
        <v/>
      </c>
      <c r="G58" s="29">
        <f>$S$6*F58</f>
        <v/>
      </c>
      <c r="H58" s="34">
        <f>F50*$S$7</f>
        <v/>
      </c>
      <c r="I58" s="34">
        <f>$S$8*F42</f>
        <v/>
      </c>
      <c r="J58" s="37" t="n"/>
      <c r="K58" s="34" t="n"/>
      <c r="L58" s="30" t="n"/>
      <c r="M58" s="30" t="n"/>
      <c r="N58" s="30" t="n"/>
      <c r="O58" s="30" t="n"/>
      <c r="P58" s="30" t="n"/>
      <c r="Q58" s="30" t="n"/>
      <c r="R58" s="30" t="n"/>
      <c r="S58" s="33">
        <f>SUM(G58:R58)</f>
        <v/>
      </c>
    </row>
    <row r="59" ht="13.2" customHeight="1" s="53">
      <c r="D59" s="32" t="n">
        <v>18</v>
      </c>
      <c r="E59" s="27">
        <f>D59*($B$40/8)</f>
        <v/>
      </c>
      <c r="F59" s="28">
        <f>IF($B$42&gt;E59,$C$48*E59,$C$50*E59+$C$51)</f>
        <v/>
      </c>
      <c r="G59" s="29">
        <f>$S$6*F59</f>
        <v/>
      </c>
      <c r="H59" s="34">
        <f>F51*$S$7</f>
        <v/>
      </c>
      <c r="I59" s="34">
        <f>$S$8*F43</f>
        <v/>
      </c>
      <c r="J59" s="37" t="n"/>
      <c r="K59" s="34" t="n"/>
      <c r="L59" s="30" t="n"/>
      <c r="M59" s="30" t="n"/>
      <c r="N59" s="30" t="n"/>
      <c r="O59" s="30" t="n"/>
      <c r="P59" s="30" t="n"/>
      <c r="Q59" s="30" t="n"/>
      <c r="R59" s="30" t="n"/>
      <c r="S59" s="33">
        <f>SUM(G59:R59)</f>
        <v/>
      </c>
    </row>
    <row r="60" ht="13.2" customHeight="1" s="53">
      <c r="D60" s="32" t="n">
        <v>19</v>
      </c>
      <c r="E60" s="27">
        <f>D60*($B$40/8)</f>
        <v/>
      </c>
      <c r="F60" s="28">
        <f>IF($B$42&gt;E60,$C$48*E60,$C$50*E60+$C$51)</f>
        <v/>
      </c>
      <c r="G60" s="29">
        <f>$S$6*F60</f>
        <v/>
      </c>
      <c r="H60" s="34">
        <f>F52*$S$7</f>
        <v/>
      </c>
      <c r="I60" s="34">
        <f>$S$8*F44</f>
        <v/>
      </c>
      <c r="J60" s="37" t="n"/>
      <c r="K60" s="34" t="n"/>
      <c r="L60" s="30" t="n"/>
      <c r="M60" s="30" t="n"/>
      <c r="N60" s="30" t="n"/>
      <c r="O60" s="30" t="n"/>
      <c r="P60" s="30" t="n"/>
      <c r="Q60" s="30" t="n"/>
      <c r="R60" s="30" t="n"/>
      <c r="S60" s="33">
        <f>SUM(G60:R60)</f>
        <v/>
      </c>
    </row>
    <row r="61" ht="13.2" customHeight="1" s="53">
      <c r="D61" s="32" t="n">
        <v>20</v>
      </c>
      <c r="E61" s="27">
        <f>D61*($B$40/8)</f>
        <v/>
      </c>
      <c r="F61" s="28">
        <f>IF($B$42&gt;E61,$C$48*E61,$C$50*E61+$C$51)</f>
        <v/>
      </c>
      <c r="G61" s="29">
        <f>$S$6*F61</f>
        <v/>
      </c>
      <c r="H61" s="34">
        <f>F53*$S$7</f>
        <v/>
      </c>
      <c r="I61" s="34">
        <f>$S$8*F45</f>
        <v/>
      </c>
      <c r="J61" s="37" t="n"/>
      <c r="K61" s="34" t="n"/>
      <c r="L61" s="37" t="n"/>
      <c r="M61" s="30" t="n"/>
      <c r="N61" s="30" t="n"/>
      <c r="O61" s="30" t="n"/>
      <c r="P61" s="30" t="n"/>
      <c r="Q61" s="30" t="n"/>
      <c r="R61" s="30" t="n"/>
      <c r="S61" s="33">
        <f>SUM(G61:R61)</f>
        <v/>
      </c>
    </row>
    <row r="62" ht="13.2" customHeight="1" s="53">
      <c r="D62" s="32" t="n">
        <v>21</v>
      </c>
      <c r="E62" s="27">
        <f>D62*($B$40/8)</f>
        <v/>
      </c>
      <c r="F62" s="28">
        <f>IF($B$42&gt;E62,$C$48*E62,$C$50*E62+$C$51)</f>
        <v/>
      </c>
      <c r="G62" s="29">
        <f>$S$6*F62</f>
        <v/>
      </c>
      <c r="H62" s="34">
        <f>F54*$S$7</f>
        <v/>
      </c>
      <c r="I62" s="34">
        <f>$S$8*F46</f>
        <v/>
      </c>
      <c r="J62" s="37" t="n"/>
      <c r="K62" s="34" t="n"/>
      <c r="L62" s="37" t="n"/>
      <c r="M62" s="30" t="n"/>
      <c r="N62" s="30" t="n"/>
      <c r="O62" s="30" t="n"/>
      <c r="P62" s="30" t="n"/>
      <c r="Q62" s="30" t="n"/>
      <c r="R62" s="30" t="n"/>
      <c r="S62" s="33">
        <f>SUM(G62:R62)</f>
        <v/>
      </c>
    </row>
    <row r="63" ht="13.2" customHeight="1" s="53">
      <c r="D63" s="32" t="n">
        <v>22</v>
      </c>
      <c r="E63" s="27">
        <f>D63*($B$40/8)</f>
        <v/>
      </c>
      <c r="F63" s="28">
        <f>IF($B$42&gt;E63,$C$48*E63,$C$50*E63+$C$51)</f>
        <v/>
      </c>
      <c r="G63" s="29">
        <f>$S$6*F63</f>
        <v/>
      </c>
      <c r="H63" s="34">
        <f>F55*$S$7</f>
        <v/>
      </c>
      <c r="I63" s="34">
        <f>$S$8*F47</f>
        <v/>
      </c>
      <c r="J63" s="37" t="n"/>
      <c r="K63" s="34" t="n"/>
      <c r="L63" s="37" t="n"/>
      <c r="M63" s="30" t="n"/>
      <c r="N63" s="30" t="n"/>
      <c r="O63" s="30" t="n"/>
      <c r="P63" s="30" t="n"/>
      <c r="Q63" s="30" t="n"/>
      <c r="R63" s="30" t="n"/>
      <c r="S63" s="33">
        <f>SUM(G63:R63)</f>
        <v/>
      </c>
    </row>
    <row r="64" ht="13.2" customHeight="1" s="53">
      <c r="D64" s="32" t="n">
        <v>23</v>
      </c>
      <c r="E64" s="27">
        <f>D64*($B$40/8)</f>
        <v/>
      </c>
      <c r="F64" s="28">
        <f>IF($B$42&gt;E64,$C$48*E64,$C$50*E64+$C$51)</f>
        <v/>
      </c>
      <c r="G64" s="29">
        <f>$S$6*F64</f>
        <v/>
      </c>
      <c r="H64" s="34">
        <f>F56*$S$7</f>
        <v/>
      </c>
      <c r="I64" s="34">
        <f>$S$8*F48</f>
        <v/>
      </c>
      <c r="J64" s="37" t="n"/>
      <c r="K64" s="34" t="n"/>
      <c r="L64" s="37" t="n"/>
      <c r="M64" s="30" t="n"/>
      <c r="N64" s="30" t="n"/>
      <c r="O64" s="30" t="n"/>
      <c r="P64" s="30" t="n"/>
      <c r="Q64" s="30" t="n"/>
      <c r="R64" s="30" t="n"/>
      <c r="S64" s="33">
        <f>SUM(G64:R64)</f>
        <v/>
      </c>
    </row>
    <row r="65" ht="13.2" customHeight="1" s="53">
      <c r="D65" s="32" t="n">
        <v>24</v>
      </c>
      <c r="E65" s="27">
        <f>D65*($B$40/8)</f>
        <v/>
      </c>
      <c r="F65" s="28">
        <f>IF($B$42&gt;E65,$C$48*E65,$C$50*E65+$C$51)</f>
        <v/>
      </c>
      <c r="G65" s="29">
        <f>$S$6*F65</f>
        <v/>
      </c>
      <c r="H65" s="34">
        <f>F57*$S$7</f>
        <v/>
      </c>
      <c r="I65" s="34">
        <f>$S$8*F49</f>
        <v/>
      </c>
      <c r="J65" s="37">
        <f>F41*$S$9</f>
        <v/>
      </c>
      <c r="K65" s="34" t="n"/>
      <c r="L65" s="37" t="n"/>
      <c r="M65" s="34" t="n"/>
      <c r="N65" s="30" t="n"/>
      <c r="O65" s="30" t="n"/>
      <c r="P65" s="30" t="n"/>
      <c r="Q65" s="30" t="n"/>
      <c r="R65" s="30" t="n"/>
      <c r="S65" s="33">
        <f>SUM(G65:R65)</f>
        <v/>
      </c>
    </row>
    <row r="66" ht="13.2" customHeight="1" s="53">
      <c r="D66" s="32" t="n">
        <v>25</v>
      </c>
      <c r="E66" s="27">
        <f>D66*($B$40/8)</f>
        <v/>
      </c>
      <c r="F66" s="28">
        <f>IF($B$42&gt;E66,$C$48*E66,$C$50*E66+$C$51)</f>
        <v/>
      </c>
      <c r="G66" s="29">
        <f>$S$6*F66</f>
        <v/>
      </c>
      <c r="H66" s="34">
        <f>F58*$S$7</f>
        <v/>
      </c>
      <c r="I66" s="34">
        <f>$S$8*F50</f>
        <v/>
      </c>
      <c r="J66" s="37">
        <f>F42*$S$9</f>
        <v/>
      </c>
      <c r="K66" s="34" t="n"/>
      <c r="L66" s="37" t="n"/>
      <c r="M66" s="34" t="n"/>
      <c r="N66" s="30" t="n"/>
      <c r="O66" s="30" t="n"/>
      <c r="P66" s="30" t="n"/>
      <c r="Q66" s="30" t="n"/>
      <c r="R66" s="30" t="n"/>
      <c r="S66" s="33">
        <f>SUM(G66:R66)</f>
        <v/>
      </c>
    </row>
    <row r="67" ht="13.2" customHeight="1" s="53">
      <c r="D67" s="32" t="n">
        <v>26</v>
      </c>
      <c r="E67" s="27">
        <f>D67*($B$40/8)</f>
        <v/>
      </c>
      <c r="F67" s="28">
        <f>IF($B$42&gt;E67,$C$48*E67,$C$50*E67+$C$51)</f>
        <v/>
      </c>
      <c r="G67" s="29">
        <f>$S$6*F67</f>
        <v/>
      </c>
      <c r="H67" s="34">
        <f>F59*$S$7</f>
        <v/>
      </c>
      <c r="I67" s="34">
        <f>$S$8*F51</f>
        <v/>
      </c>
      <c r="J67" s="37">
        <f>F43*$S$9</f>
        <v/>
      </c>
      <c r="K67" s="34" t="n"/>
      <c r="L67" s="37" t="n"/>
      <c r="M67" s="34" t="n"/>
      <c r="N67" s="30" t="n"/>
      <c r="O67" s="30" t="n"/>
      <c r="P67" s="30" t="n"/>
      <c r="Q67" s="30" t="n"/>
      <c r="R67" s="30" t="n"/>
      <c r="S67" s="33">
        <f>SUM(G67:R67)</f>
        <v/>
      </c>
    </row>
    <row r="68" ht="13.2" customHeight="1" s="53">
      <c r="D68" s="32" t="n">
        <v>27</v>
      </c>
      <c r="E68" s="27">
        <f>D68*($B$40/8)</f>
        <v/>
      </c>
      <c r="F68" s="28">
        <f>IF($B$42&gt;E68,$C$48*E68,$C$50*E68+$C$51)</f>
        <v/>
      </c>
      <c r="G68" s="29">
        <f>$S$6*F68</f>
        <v/>
      </c>
      <c r="H68" s="34">
        <f>F60*$S$7</f>
        <v/>
      </c>
      <c r="I68" s="34">
        <f>$S$8*F52</f>
        <v/>
      </c>
      <c r="J68" s="37">
        <f>F44*$S$9</f>
        <v/>
      </c>
      <c r="K68" s="34" t="n"/>
      <c r="L68" s="37" t="n"/>
      <c r="M68" s="34" t="n"/>
      <c r="N68" s="30" t="n"/>
      <c r="O68" s="30" t="n"/>
      <c r="P68" s="30" t="n"/>
      <c r="Q68" s="30" t="n"/>
      <c r="R68" s="30" t="n"/>
      <c r="S68" s="33">
        <f>SUM(G68:R68)</f>
        <v/>
      </c>
    </row>
    <row r="69" ht="13.2" customHeight="1" s="53">
      <c r="D69" s="32" t="n">
        <v>28</v>
      </c>
      <c r="E69" s="27">
        <f>D69*($B$40/8)</f>
        <v/>
      </c>
      <c r="F69" s="28">
        <f>IF($B$42&gt;E69,$C$48*E69,$C$50*E69+$C$51)</f>
        <v/>
      </c>
      <c r="G69" s="29">
        <f>$S$6*F69</f>
        <v/>
      </c>
      <c r="H69" s="34">
        <f>F61*$S$7</f>
        <v/>
      </c>
      <c r="I69" s="34">
        <f>$S$8*F53</f>
        <v/>
      </c>
      <c r="J69" s="37">
        <f>F45*$S$9</f>
        <v/>
      </c>
      <c r="K69" s="34" t="n"/>
      <c r="L69" s="37" t="n"/>
      <c r="M69" s="34" t="n"/>
      <c r="N69" s="37" t="n"/>
      <c r="O69" s="30" t="n"/>
      <c r="P69" s="30" t="n"/>
      <c r="Q69" s="30" t="n"/>
      <c r="R69" s="30" t="n"/>
      <c r="S69" s="33">
        <f>SUM(G69:R69)</f>
        <v/>
      </c>
    </row>
    <row r="70" ht="13.2" customHeight="1" s="53">
      <c r="D70" s="32" t="n">
        <v>29</v>
      </c>
      <c r="E70" s="27">
        <f>D70*($B$40/8)</f>
        <v/>
      </c>
      <c r="F70" s="28">
        <f>IF($B$42&gt;E70,$C$48*E70,$C$50*E70+$C$51)</f>
        <v/>
      </c>
      <c r="G70" s="29">
        <f>$S$6*F70</f>
        <v/>
      </c>
      <c r="H70" s="34">
        <f>F62*$S$7</f>
        <v/>
      </c>
      <c r="I70" s="34">
        <f>$S$8*F54</f>
        <v/>
      </c>
      <c r="J70" s="37">
        <f>F46*$S$9</f>
        <v/>
      </c>
      <c r="K70" s="34" t="n"/>
      <c r="L70" s="37" t="n"/>
      <c r="M70" s="34" t="n"/>
      <c r="N70" s="37" t="n"/>
      <c r="O70" s="30" t="n"/>
      <c r="P70" s="30" t="n"/>
      <c r="Q70" s="30" t="n"/>
      <c r="R70" s="30" t="n"/>
      <c r="S70" s="33">
        <f>SUM(G70:R70)</f>
        <v/>
      </c>
    </row>
    <row r="71" ht="13.2" customHeight="1" s="53">
      <c r="D71" s="32" t="n">
        <v>30</v>
      </c>
      <c r="E71" s="27">
        <f>D71*($B$40/8)</f>
        <v/>
      </c>
      <c r="F71" s="28">
        <f>IF($B$42&gt;E71,$C$48*E71,$C$50*E71+$C$51)</f>
        <v/>
      </c>
      <c r="G71" s="29">
        <f>$S$6*F71</f>
        <v/>
      </c>
      <c r="H71" s="34">
        <f>F63*$S$7</f>
        <v/>
      </c>
      <c r="I71" s="34">
        <f>$S$8*F55</f>
        <v/>
      </c>
      <c r="J71" s="37">
        <f>F47*$S$9</f>
        <v/>
      </c>
      <c r="K71" s="34" t="n"/>
      <c r="L71" s="37" t="n"/>
      <c r="M71" s="34" t="n"/>
      <c r="N71" s="37" t="n"/>
      <c r="O71" s="30" t="n"/>
      <c r="P71" s="30" t="n"/>
      <c r="Q71" s="30" t="n"/>
      <c r="R71" s="30" t="n"/>
      <c r="S71" s="33">
        <f>SUM(G71:R71)</f>
        <v/>
      </c>
    </row>
    <row r="72" ht="13.2" customHeight="1" s="53">
      <c r="D72" s="32" t="n">
        <v>31</v>
      </c>
      <c r="E72" s="27">
        <f>D72*($B$40/8)</f>
        <v/>
      </c>
      <c r="F72" s="28">
        <f>IF($B$42&gt;E72,$C$48*E72,$C$50*E72+$C$51)</f>
        <v/>
      </c>
      <c r="G72" s="29">
        <f>$S$6*F72</f>
        <v/>
      </c>
      <c r="H72" s="34">
        <f>F64*$S$7</f>
        <v/>
      </c>
      <c r="I72" s="34">
        <f>$S$8*F56</f>
        <v/>
      </c>
      <c r="J72" s="37">
        <f>F48*$S$9</f>
        <v/>
      </c>
      <c r="K72" s="34" t="n"/>
      <c r="L72" s="37" t="n"/>
      <c r="M72" s="34" t="n"/>
      <c r="N72" s="37" t="n"/>
      <c r="O72" s="30" t="n"/>
      <c r="P72" s="30" t="n"/>
      <c r="Q72" s="30" t="n"/>
      <c r="R72" s="30" t="n"/>
      <c r="S72" s="33">
        <f>SUM(G72:R72)</f>
        <v/>
      </c>
    </row>
    <row r="73" ht="13.2" customHeight="1" s="53">
      <c r="D73" s="32" t="n">
        <v>32</v>
      </c>
      <c r="E73" s="27">
        <f>D73*($B$40/8)</f>
        <v/>
      </c>
      <c r="F73" s="28">
        <f>IF($B$42&gt;E73,$C$48*E73,$C$50*E73+$C$51)</f>
        <v/>
      </c>
      <c r="G73" s="29">
        <f>$S$6*F73</f>
        <v/>
      </c>
      <c r="H73" s="34">
        <f>F65*$S$7</f>
        <v/>
      </c>
      <c r="I73" s="34">
        <f>$S$8*F57</f>
        <v/>
      </c>
      <c r="J73" s="37">
        <f>F49*$S$9</f>
        <v/>
      </c>
      <c r="K73" s="34">
        <f>$S$10*F41</f>
        <v/>
      </c>
      <c r="L73" s="37" t="n"/>
      <c r="M73" s="34" t="n"/>
      <c r="N73" s="37" t="n"/>
      <c r="O73" s="37" t="n"/>
      <c r="P73" s="30" t="n"/>
      <c r="Q73" s="30" t="n"/>
      <c r="R73" s="30" t="n"/>
      <c r="S73" s="33">
        <f>SUM(G73:R73)</f>
        <v/>
      </c>
    </row>
    <row r="74" ht="13.2" customHeight="1" s="53">
      <c r="D74" s="32" t="n">
        <v>33</v>
      </c>
      <c r="E74" s="27">
        <f>D74*($B$40/8)</f>
        <v/>
      </c>
      <c r="F74" s="28">
        <f>IF($B$42&gt;E74,$C$48*E74,$C$50*E74+$C$51)</f>
        <v/>
      </c>
      <c r="G74" s="29">
        <f>$S$6*F74</f>
        <v/>
      </c>
      <c r="H74" s="34">
        <f>F66*$S$7</f>
        <v/>
      </c>
      <c r="I74" s="34">
        <f>$S$8*F58</f>
        <v/>
      </c>
      <c r="J74" s="37">
        <f>F50*$S$9</f>
        <v/>
      </c>
      <c r="K74" s="34">
        <f>$S$10*F42</f>
        <v/>
      </c>
      <c r="L74" s="37" t="n"/>
      <c r="M74" s="34" t="n"/>
      <c r="N74" s="37" t="n"/>
      <c r="O74" s="37" t="n"/>
      <c r="P74" s="30" t="n"/>
      <c r="Q74" s="30" t="n"/>
      <c r="R74" s="30" t="n"/>
      <c r="S74" s="33">
        <f>SUM(G74:R74)</f>
        <v/>
      </c>
    </row>
    <row r="75" ht="13.2" customHeight="1" s="53">
      <c r="D75" s="32" t="n">
        <v>34</v>
      </c>
      <c r="E75" s="27">
        <f>D75*($B$40/8)</f>
        <v/>
      </c>
      <c r="F75" s="28">
        <f>IF($B$42&gt;E75,$C$48*E75,$C$50*E75+$C$51)</f>
        <v/>
      </c>
      <c r="G75" s="29">
        <f>$S$6*F75</f>
        <v/>
      </c>
      <c r="H75" s="34">
        <f>F67*$S$7</f>
        <v/>
      </c>
      <c r="I75" s="34">
        <f>$S$8*F59</f>
        <v/>
      </c>
      <c r="J75" s="37">
        <f>F51*$S$9</f>
        <v/>
      </c>
      <c r="K75" s="34">
        <f>$S$10*F43</f>
        <v/>
      </c>
      <c r="L75" s="37" t="n"/>
      <c r="M75" s="34" t="n"/>
      <c r="N75" s="37" t="n"/>
      <c r="O75" s="37" t="n"/>
      <c r="P75" s="30" t="n"/>
      <c r="Q75" s="30" t="n"/>
      <c r="R75" s="30" t="n"/>
      <c r="S75" s="33">
        <f>SUM(G75:R75)</f>
        <v/>
      </c>
    </row>
    <row r="76" ht="13.2" customHeight="1" s="53">
      <c r="D76" s="32" t="n">
        <v>35</v>
      </c>
      <c r="E76" s="27">
        <f>D76*($B$40/8)</f>
        <v/>
      </c>
      <c r="F76" s="28">
        <f>IF($B$42&gt;E76,$C$48*E76,$C$50*E76+$C$51)</f>
        <v/>
      </c>
      <c r="G76" s="29">
        <f>$S$6*F76</f>
        <v/>
      </c>
      <c r="H76" s="34">
        <f>F68*$S$7</f>
        <v/>
      </c>
      <c r="I76" s="34">
        <f>$S$8*F60</f>
        <v/>
      </c>
      <c r="J76" s="37">
        <f>F52*$S$9</f>
        <v/>
      </c>
      <c r="K76" s="34">
        <f>$S$10*F44</f>
        <v/>
      </c>
      <c r="L76" s="37" t="n"/>
      <c r="M76" s="34" t="n"/>
      <c r="N76" s="37" t="n"/>
      <c r="O76" s="37" t="n"/>
      <c r="P76" s="30" t="n"/>
      <c r="Q76" s="30" t="n"/>
      <c r="R76" s="30" t="n"/>
      <c r="S76" s="33">
        <f>SUM(G76:R76)</f>
        <v/>
      </c>
    </row>
    <row r="77" ht="13.2" customHeight="1" s="53">
      <c r="D77" s="32" t="n">
        <v>36</v>
      </c>
      <c r="E77" s="27">
        <f>D77*($B$40/8)</f>
        <v/>
      </c>
      <c r="F77" s="28">
        <f>IF($B$42&gt;E77,$C$48*E77,$C$50*E77+$C$51)</f>
        <v/>
      </c>
      <c r="G77" s="29">
        <f>$S$6*F77</f>
        <v/>
      </c>
      <c r="H77" s="34">
        <f>F69*$S$7</f>
        <v/>
      </c>
      <c r="I77" s="34">
        <f>$S$8*F61</f>
        <v/>
      </c>
      <c r="J77" s="37">
        <f>F53*$S$9</f>
        <v/>
      </c>
      <c r="K77" s="34">
        <f>$S$10*F45</f>
        <v/>
      </c>
      <c r="L77" s="37" t="n"/>
      <c r="M77" s="34" t="n"/>
      <c r="N77" s="37" t="n"/>
      <c r="O77" s="37" t="n"/>
      <c r="P77" s="34" t="n"/>
      <c r="Q77" s="30" t="n"/>
      <c r="R77" s="30" t="n"/>
      <c r="S77" s="33">
        <f>SUM(G77:R77)</f>
        <v/>
      </c>
    </row>
    <row r="78" ht="13.2" customHeight="1" s="53">
      <c r="D78" s="32" t="n">
        <v>37</v>
      </c>
      <c r="E78" s="27">
        <f>D78*($B$40/8)</f>
        <v/>
      </c>
      <c r="F78" s="28">
        <f>IF($B$42&gt;E78,$C$48*E78,$C$50*E78+$C$51)</f>
        <v/>
      </c>
      <c r="G78" s="29">
        <f>$S$6*F78</f>
        <v/>
      </c>
      <c r="H78" s="34">
        <f>F70*$S$7</f>
        <v/>
      </c>
      <c r="I78" s="34">
        <f>$S$8*F62</f>
        <v/>
      </c>
      <c r="J78" s="37">
        <f>F54*$S$9</f>
        <v/>
      </c>
      <c r="K78" s="34">
        <f>$S$10*F46</f>
        <v/>
      </c>
      <c r="L78" s="37" t="n"/>
      <c r="M78" s="34" t="n"/>
      <c r="N78" s="37" t="n"/>
      <c r="O78" s="37" t="n"/>
      <c r="P78" s="34" t="n"/>
      <c r="Q78" s="30" t="n"/>
      <c r="R78" s="30" t="n"/>
      <c r="S78" s="33">
        <f>SUM(G78:R78)</f>
        <v/>
      </c>
    </row>
    <row r="79" ht="13.2" customHeight="1" s="53">
      <c r="D79" s="32" t="n">
        <v>38</v>
      </c>
      <c r="E79" s="27">
        <f>D79*($B$40/8)</f>
        <v/>
      </c>
      <c r="F79" s="28">
        <f>IF($B$42&gt;E79,$C$48*E79,$C$50*E79+$C$51)</f>
        <v/>
      </c>
      <c r="G79" s="29">
        <f>$S$6*F79</f>
        <v/>
      </c>
      <c r="H79" s="34">
        <f>F71*$S$7</f>
        <v/>
      </c>
      <c r="I79" s="34">
        <f>$S$8*F63</f>
        <v/>
      </c>
      <c r="J79" s="37">
        <f>F55*$S$9</f>
        <v/>
      </c>
      <c r="K79" s="34">
        <f>$S$10*F47</f>
        <v/>
      </c>
      <c r="L79" s="37" t="n"/>
      <c r="M79" s="34" t="n"/>
      <c r="N79" s="37" t="n"/>
      <c r="O79" s="37" t="n"/>
      <c r="P79" s="34" t="n"/>
      <c r="Q79" s="30" t="n"/>
      <c r="R79" s="30" t="n"/>
      <c r="S79" s="33">
        <f>SUM(G79:R79)</f>
        <v/>
      </c>
    </row>
    <row r="80" ht="13.2" customHeight="1" s="53">
      <c r="D80" s="32" t="n">
        <v>39</v>
      </c>
      <c r="E80" s="27">
        <f>D80*($B$40/8)</f>
        <v/>
      </c>
      <c r="F80" s="28">
        <f>IF($B$42&gt;E80,$C$48*E80,$C$50*E80+$C$51)</f>
        <v/>
      </c>
      <c r="G80" s="29">
        <f>$S$6*F80</f>
        <v/>
      </c>
      <c r="H80" s="34">
        <f>F72*$S$7</f>
        <v/>
      </c>
      <c r="I80" s="34">
        <f>$S$8*F64</f>
        <v/>
      </c>
      <c r="J80" s="37">
        <f>F56*$S$9</f>
        <v/>
      </c>
      <c r="K80" s="34">
        <f>$S$10*F48</f>
        <v/>
      </c>
      <c r="L80" s="37" t="n"/>
      <c r="M80" s="34" t="n"/>
      <c r="N80" s="37" t="n"/>
      <c r="O80" s="37" t="n"/>
      <c r="P80" s="34" t="n"/>
      <c r="Q80" s="30" t="n"/>
      <c r="R80" s="30" t="n"/>
      <c r="S80" s="33">
        <f>SUM(G80:R80)</f>
        <v/>
      </c>
    </row>
    <row r="81" ht="13.2" customHeight="1" s="53">
      <c r="D81" s="32" t="n">
        <v>40</v>
      </c>
      <c r="E81" s="27">
        <f>D81*($B$40/8)</f>
        <v/>
      </c>
      <c r="F81" s="28">
        <f>IF($B$42&gt;E81,$C$48*E81,$C$50*E81+$C$51)</f>
        <v/>
      </c>
      <c r="G81" s="29">
        <f>$S$6*F81</f>
        <v/>
      </c>
      <c r="H81" s="34">
        <f>F73*$S$7</f>
        <v/>
      </c>
      <c r="I81" s="34">
        <f>$S$8*F65</f>
        <v/>
      </c>
      <c r="J81" s="37">
        <f>F57*$S$9</f>
        <v/>
      </c>
      <c r="K81" s="34">
        <f>$S$10*F49</f>
        <v/>
      </c>
      <c r="L81" s="37">
        <f>F41*$S$11</f>
        <v/>
      </c>
      <c r="M81" s="34" t="n"/>
      <c r="N81" s="37" t="n"/>
      <c r="O81" s="37" t="n"/>
      <c r="P81" s="34" t="n"/>
      <c r="Q81" s="37" t="n"/>
      <c r="R81" s="30" t="n"/>
      <c r="S81" s="33">
        <f>SUM(G81:R81)</f>
        <v/>
      </c>
    </row>
    <row r="82" ht="13.2" customHeight="1" s="53">
      <c r="D82" s="32" t="n">
        <v>41</v>
      </c>
      <c r="E82" s="27">
        <f>D82*($B$40/8)</f>
        <v/>
      </c>
      <c r="F82" s="28">
        <f>IF($B$42&gt;E82,$C$48*E82,$C$50*E82+$C$51)</f>
        <v/>
      </c>
      <c r="G82" s="29">
        <f>$S$6*F82</f>
        <v/>
      </c>
      <c r="H82" s="34">
        <f>F74*$S$7</f>
        <v/>
      </c>
      <c r="I82" s="34">
        <f>$S$8*F66</f>
        <v/>
      </c>
      <c r="J82" s="37">
        <f>F58*$S$9</f>
        <v/>
      </c>
      <c r="K82" s="34">
        <f>$S$10*F50</f>
        <v/>
      </c>
      <c r="L82" s="37">
        <f>F42*$S$11</f>
        <v/>
      </c>
      <c r="M82" s="34" t="n"/>
      <c r="N82" s="37" t="n"/>
      <c r="O82" s="37" t="n"/>
      <c r="P82" s="34" t="n"/>
      <c r="Q82" s="37" t="n"/>
      <c r="R82" s="30" t="n"/>
      <c r="S82" s="33">
        <f>SUM(G82:R82)</f>
        <v/>
      </c>
    </row>
    <row r="83" ht="13.2" customHeight="1" s="53">
      <c r="D83" s="32" t="n">
        <v>42</v>
      </c>
      <c r="E83" s="27">
        <f>D83*($B$40/8)</f>
        <v/>
      </c>
      <c r="F83" s="28">
        <f>IF($B$42&gt;E83,$C$48*E83,$C$50*E83+$C$51)</f>
        <v/>
      </c>
      <c r="G83" s="29">
        <f>$S$6*F83</f>
        <v/>
      </c>
      <c r="H83" s="34">
        <f>F75*$S$7</f>
        <v/>
      </c>
      <c r="I83" s="34">
        <f>$S$8*F67</f>
        <v/>
      </c>
      <c r="J83" s="37">
        <f>F59*$S$9</f>
        <v/>
      </c>
      <c r="K83" s="34">
        <f>$S$10*F51</f>
        <v/>
      </c>
      <c r="L83" s="37">
        <f>F43*$S$11</f>
        <v/>
      </c>
      <c r="M83" s="34" t="n"/>
      <c r="N83" s="37" t="n"/>
      <c r="O83" s="37" t="n"/>
      <c r="P83" s="34" t="n"/>
      <c r="Q83" s="37" t="n"/>
      <c r="R83" s="30" t="n"/>
      <c r="S83" s="33">
        <f>SUM(G83:R83)</f>
        <v/>
      </c>
    </row>
    <row r="84" ht="13.2" customHeight="1" s="53">
      <c r="D84" s="32" t="n">
        <v>43</v>
      </c>
      <c r="E84" s="27">
        <f>D84*($B$40/8)</f>
        <v/>
      </c>
      <c r="F84" s="28">
        <f>IF($B$42&gt;E84,$C$48*E84,$C$50*E84+$C$51)</f>
        <v/>
      </c>
      <c r="G84" s="29">
        <f>$S$6*F84</f>
        <v/>
      </c>
      <c r="H84" s="34">
        <f>F76*$S$7</f>
        <v/>
      </c>
      <c r="I84" s="34">
        <f>$S$8*F68</f>
        <v/>
      </c>
      <c r="J84" s="37">
        <f>F60*$S$9</f>
        <v/>
      </c>
      <c r="K84" s="34">
        <f>$S$10*F52</f>
        <v/>
      </c>
      <c r="L84" s="37">
        <f>F44*$S$11</f>
        <v/>
      </c>
      <c r="M84" s="34" t="n"/>
      <c r="N84" s="37" t="n"/>
      <c r="O84" s="37" t="n"/>
      <c r="P84" s="34" t="n"/>
      <c r="Q84" s="37" t="n"/>
      <c r="R84" s="30" t="n"/>
      <c r="S84" s="33">
        <f>SUM(G84:R84)</f>
        <v/>
      </c>
    </row>
    <row r="85" ht="13.2" customHeight="1" s="53">
      <c r="D85" s="32" t="n">
        <v>44</v>
      </c>
      <c r="E85" s="27">
        <f>D85*($B$40/8)</f>
        <v/>
      </c>
      <c r="F85" s="28">
        <f>IF($B$42&gt;E85,$C$48*E85,$C$50*E85+$C$51)</f>
        <v/>
      </c>
      <c r="G85" s="29">
        <f>$S$6*F85</f>
        <v/>
      </c>
      <c r="H85" s="34">
        <f>F77*$S$7</f>
        <v/>
      </c>
      <c r="I85" s="34">
        <f>$S$8*F69</f>
        <v/>
      </c>
      <c r="J85" s="37">
        <f>F61*$S$9</f>
        <v/>
      </c>
      <c r="K85" s="34">
        <f>$S$10*F53</f>
        <v/>
      </c>
      <c r="L85" s="37">
        <f>F45*$S$11</f>
        <v/>
      </c>
      <c r="M85" s="34" t="n"/>
      <c r="N85" s="37" t="n"/>
      <c r="O85" s="37" t="n"/>
      <c r="P85" s="34" t="n"/>
      <c r="Q85" s="37" t="n"/>
      <c r="R85" s="37" t="n"/>
      <c r="S85" s="33">
        <f>SUM(G85:R85)</f>
        <v/>
      </c>
    </row>
    <row r="86" ht="13.2" customHeight="1" s="53">
      <c r="D86" s="32" t="n">
        <v>45</v>
      </c>
      <c r="E86" s="27">
        <f>D86*($B$40/8)</f>
        <v/>
      </c>
      <c r="F86" s="28">
        <f>IF($B$42&gt;E86,$C$48*E86,$C$50*E86+$C$51)</f>
        <v/>
      </c>
      <c r="G86" s="29">
        <f>$S$6*F86</f>
        <v/>
      </c>
      <c r="H86" s="34">
        <f>F78*$S$7</f>
        <v/>
      </c>
      <c r="I86" s="34">
        <f>$S$8*F70</f>
        <v/>
      </c>
      <c r="J86" s="37">
        <f>F62*$S$9</f>
        <v/>
      </c>
      <c r="K86" s="34">
        <f>$S$10*F54</f>
        <v/>
      </c>
      <c r="L86" s="37">
        <f>F46*$S$11</f>
        <v/>
      </c>
      <c r="M86" s="34" t="n"/>
      <c r="N86" s="37" t="n"/>
      <c r="O86" s="37" t="n"/>
      <c r="P86" s="34" t="n"/>
      <c r="Q86" s="37" t="n"/>
      <c r="R86" s="37" t="n"/>
      <c r="S86" s="33">
        <f>SUM(G86:R86)</f>
        <v/>
      </c>
    </row>
    <row r="87" ht="13.2" customHeight="1" s="53">
      <c r="D87" s="32" t="n">
        <v>46</v>
      </c>
      <c r="E87" s="27">
        <f>D87*($B$40/8)</f>
        <v/>
      </c>
      <c r="F87" s="28">
        <f>IF($B$42&gt;E87,$C$48*E87,$C$50*E87+$C$51)</f>
        <v/>
      </c>
      <c r="G87" s="29">
        <f>$S$6*F87</f>
        <v/>
      </c>
      <c r="H87" s="34">
        <f>F79*$S$7</f>
        <v/>
      </c>
      <c r="I87" s="34">
        <f>$S$8*F71</f>
        <v/>
      </c>
      <c r="J87" s="37">
        <f>F63*$S$9</f>
        <v/>
      </c>
      <c r="K87" s="34">
        <f>$S$10*F55</f>
        <v/>
      </c>
      <c r="L87" s="37">
        <f>F47*$S$11</f>
        <v/>
      </c>
      <c r="M87" s="34" t="n"/>
      <c r="N87" s="37" t="n"/>
      <c r="O87" s="37" t="n"/>
      <c r="P87" s="34" t="n"/>
      <c r="Q87" s="37" t="n"/>
      <c r="R87" s="37" t="n"/>
      <c r="S87" s="33">
        <f>SUM(G87:R87)</f>
        <v/>
      </c>
    </row>
    <row r="88" ht="13.2" customHeight="1" s="53">
      <c r="D88" s="32" t="n">
        <v>47</v>
      </c>
      <c r="E88" s="27">
        <f>D88*($B$40/8)</f>
        <v/>
      </c>
      <c r="F88" s="28">
        <f>IF($B$42&gt;E88,$C$48*E88,$C$50*E88+$C$51)</f>
        <v/>
      </c>
      <c r="G88" s="29">
        <f>$S$6*F88</f>
        <v/>
      </c>
      <c r="H88" s="34">
        <f>F80*$S$7</f>
        <v/>
      </c>
      <c r="I88" s="34">
        <f>$S$8*F72</f>
        <v/>
      </c>
      <c r="J88" s="37">
        <f>F64*$S$9</f>
        <v/>
      </c>
      <c r="K88" s="34">
        <f>$S$10*F56</f>
        <v/>
      </c>
      <c r="L88" s="37">
        <f>F48*$S$11</f>
        <v/>
      </c>
      <c r="M88" s="34" t="n"/>
      <c r="N88" s="37" t="n"/>
      <c r="O88" s="37" t="n"/>
      <c r="P88" s="34" t="n"/>
      <c r="Q88" s="37" t="n"/>
      <c r="R88" s="37" t="n"/>
      <c r="S88" s="33">
        <f>SUM(G88:R88)</f>
        <v/>
      </c>
    </row>
    <row r="89" ht="13.2" customHeight="1" s="53">
      <c r="D89" s="32" t="n">
        <v>48</v>
      </c>
      <c r="E89" s="27">
        <f>D89*($B$40/8)</f>
        <v/>
      </c>
      <c r="F89" s="28">
        <f>IF($B$42&gt;E89,$C$48*E89,$C$50*E89+$C$51)</f>
        <v/>
      </c>
      <c r="G89" s="29">
        <f>$S$6*F89</f>
        <v/>
      </c>
      <c r="H89" s="34">
        <f>F81*$S$7</f>
        <v/>
      </c>
      <c r="I89" s="34">
        <f>$S$8*F73</f>
        <v/>
      </c>
      <c r="J89" s="37">
        <f>F65*$S$9</f>
        <v/>
      </c>
      <c r="K89" s="34">
        <f>$S$10*F57</f>
        <v/>
      </c>
      <c r="L89" s="37">
        <f>F49*$S$11</f>
        <v/>
      </c>
      <c r="M89" s="34">
        <f>$S$12*F41</f>
        <v/>
      </c>
      <c r="N89" s="37" t="n"/>
      <c r="O89" s="37" t="n"/>
      <c r="P89" s="34" t="n"/>
      <c r="Q89" s="37" t="n"/>
      <c r="R89" s="37" t="n"/>
      <c r="S89" s="33">
        <f>SUM(G89:R89)</f>
        <v/>
      </c>
    </row>
    <row r="90" ht="13.2" customHeight="1" s="53">
      <c r="D90" s="32" t="n">
        <v>49</v>
      </c>
      <c r="E90" s="27">
        <f>D90*($B$40/8)</f>
        <v/>
      </c>
      <c r="F90" s="28">
        <f>IF($B$42&gt;E90,$C$48*E90,$C$50*E90+$C$51)</f>
        <v/>
      </c>
      <c r="G90" s="29">
        <f>$S$6*F90</f>
        <v/>
      </c>
      <c r="H90" s="34">
        <f>F82*$S$7</f>
        <v/>
      </c>
      <c r="I90" s="34">
        <f>$S$8*F74</f>
        <v/>
      </c>
      <c r="J90" s="37">
        <f>F66*$S$9</f>
        <v/>
      </c>
      <c r="K90" s="34">
        <f>$S$10*F58</f>
        <v/>
      </c>
      <c r="L90" s="37">
        <f>F50*$S$11</f>
        <v/>
      </c>
      <c r="M90" s="34">
        <f>$S$12*F42</f>
        <v/>
      </c>
      <c r="N90" s="37" t="n"/>
      <c r="O90" s="37" t="n"/>
      <c r="P90" s="34" t="n"/>
      <c r="Q90" s="37" t="n"/>
      <c r="R90" s="37" t="n"/>
      <c r="S90" s="33">
        <f>SUM(G90:R90)</f>
        <v/>
      </c>
    </row>
    <row r="91" ht="13.2" customHeight="1" s="53">
      <c r="D91" s="32" t="n">
        <v>50</v>
      </c>
      <c r="E91" s="27">
        <f>D91*($B$40/8)</f>
        <v/>
      </c>
      <c r="F91" s="28">
        <f>IF($B$42&gt;E91,$C$48*E91,$C$50*E91+$C$51)</f>
        <v/>
      </c>
      <c r="G91" s="29">
        <f>$S$6*F91</f>
        <v/>
      </c>
      <c r="H91" s="34">
        <f>F83*$S$7</f>
        <v/>
      </c>
      <c r="I91" s="34">
        <f>$S$8*F75</f>
        <v/>
      </c>
      <c r="J91" s="37">
        <f>F67*$S$9</f>
        <v/>
      </c>
      <c r="K91" s="34">
        <f>$S$10*F59</f>
        <v/>
      </c>
      <c r="L91" s="37">
        <f>F51*$S$11</f>
        <v/>
      </c>
      <c r="M91" s="34">
        <f>$S$12*F43</f>
        <v/>
      </c>
      <c r="N91" s="37" t="n"/>
      <c r="O91" s="37" t="n"/>
      <c r="P91" s="34" t="n"/>
      <c r="Q91" s="37" t="n"/>
      <c r="R91" s="37" t="n"/>
      <c r="S91" s="33">
        <f>SUM(G91:R91)</f>
        <v/>
      </c>
    </row>
    <row r="92" ht="13.2" customHeight="1" s="53">
      <c r="D92" s="32" t="n">
        <v>51</v>
      </c>
      <c r="E92" s="27">
        <f>D92*($B$40/8)</f>
        <v/>
      </c>
      <c r="F92" s="28">
        <f>IF($B$42&gt;E92,$C$48*E92,$C$50*E92+$C$51)</f>
        <v/>
      </c>
      <c r="G92" s="29">
        <f>$S$6*F92</f>
        <v/>
      </c>
      <c r="H92" s="34">
        <f>F84*$S$7</f>
        <v/>
      </c>
      <c r="I92" s="34">
        <f>$S$8*F76</f>
        <v/>
      </c>
      <c r="J92" s="37">
        <f>F68*$S$9</f>
        <v/>
      </c>
      <c r="K92" s="34">
        <f>$S$10*F60</f>
        <v/>
      </c>
      <c r="L92" s="37">
        <f>F52*$S$11</f>
        <v/>
      </c>
      <c r="M92" s="34">
        <f>$S$12*F44</f>
        <v/>
      </c>
      <c r="N92" s="37" t="n"/>
      <c r="O92" s="37" t="n"/>
      <c r="P92" s="34" t="n"/>
      <c r="Q92" s="37" t="n"/>
      <c r="R92" s="37" t="n"/>
      <c r="S92" s="33">
        <f>SUM(G92:R92)</f>
        <v/>
      </c>
    </row>
    <row r="93" ht="13.2" customHeight="1" s="53">
      <c r="D93" s="32" t="n">
        <v>52</v>
      </c>
      <c r="E93" s="27">
        <f>D93*($B$40/8)</f>
        <v/>
      </c>
      <c r="F93" s="28">
        <f>IF($B$42&gt;E93,$C$48*E93,$C$50*E93+$C$51)</f>
        <v/>
      </c>
      <c r="G93" s="29">
        <f>$S$6*F93</f>
        <v/>
      </c>
      <c r="H93" s="34">
        <f>F85*$S$7</f>
        <v/>
      </c>
      <c r="I93" s="34">
        <f>$S$8*F77</f>
        <v/>
      </c>
      <c r="J93" s="37">
        <f>F69*$S$9</f>
        <v/>
      </c>
      <c r="K93" s="34">
        <f>$S$10*F61</f>
        <v/>
      </c>
      <c r="L93" s="37">
        <f>F53*$S$11</f>
        <v/>
      </c>
      <c r="M93" s="34">
        <f>$S$12*F45</f>
        <v/>
      </c>
      <c r="N93" s="37" t="n"/>
      <c r="O93" s="37" t="n"/>
      <c r="P93" s="34" t="n"/>
      <c r="Q93" s="37" t="n"/>
      <c r="R93" s="37" t="n"/>
      <c r="S93" s="33">
        <f>SUM(G93:R93)</f>
        <v/>
      </c>
    </row>
    <row r="94" ht="13.2" customHeight="1" s="53">
      <c r="D94" s="32" t="n">
        <v>53</v>
      </c>
      <c r="E94" s="27">
        <f>D94*($B$40/8)</f>
        <v/>
      </c>
      <c r="F94" s="28">
        <f>IF($B$42&gt;E94,$C$48*E94,$C$50*E94+$C$51)</f>
        <v/>
      </c>
      <c r="G94" s="29">
        <f>$S$6*F94</f>
        <v/>
      </c>
      <c r="H94" s="34">
        <f>F86*$S$7</f>
        <v/>
      </c>
      <c r="I94" s="34">
        <f>$S$8*F78</f>
        <v/>
      </c>
      <c r="J94" s="37">
        <f>F70*$S$9</f>
        <v/>
      </c>
      <c r="K94" s="34">
        <f>$S$10*F62</f>
        <v/>
      </c>
      <c r="L94" s="37">
        <f>F54*$S$11</f>
        <v/>
      </c>
      <c r="M94" s="34">
        <f>$S$12*F46</f>
        <v/>
      </c>
      <c r="N94" s="37" t="n"/>
      <c r="O94" s="37" t="n"/>
      <c r="P94" s="34" t="n"/>
      <c r="Q94" s="37" t="n"/>
      <c r="R94" s="37" t="n"/>
      <c r="S94" s="33">
        <f>SUM(G94:R94)</f>
        <v/>
      </c>
    </row>
    <row r="95" ht="13.2" customHeight="1" s="53">
      <c r="D95" s="32" t="n">
        <v>54</v>
      </c>
      <c r="E95" s="27">
        <f>D95*($B$40/8)</f>
        <v/>
      </c>
      <c r="F95" s="28">
        <f>IF($B$42&gt;E95,$C$48*E95,$C$50*E95+$C$51)</f>
        <v/>
      </c>
      <c r="G95" s="29">
        <f>$S$6*F95</f>
        <v/>
      </c>
      <c r="H95" s="34">
        <f>F87*$S$7</f>
        <v/>
      </c>
      <c r="I95" s="34">
        <f>$S$8*F79</f>
        <v/>
      </c>
      <c r="J95" s="37">
        <f>F71*$S$9</f>
        <v/>
      </c>
      <c r="K95" s="34">
        <f>$S$10*F63</f>
        <v/>
      </c>
      <c r="L95" s="37">
        <f>F55*$S$11</f>
        <v/>
      </c>
      <c r="M95" s="34">
        <f>$S$12*F47</f>
        <v/>
      </c>
      <c r="N95" s="37" t="n"/>
      <c r="O95" s="37" t="n"/>
      <c r="P95" s="34" t="n"/>
      <c r="Q95" s="37" t="n"/>
      <c r="R95" s="37" t="n"/>
      <c r="S95" s="33">
        <f>SUM(G95:R95)</f>
        <v/>
      </c>
    </row>
    <row r="96" ht="13.2" customHeight="1" s="53">
      <c r="D96" s="32" t="n">
        <v>55</v>
      </c>
      <c r="E96" s="27">
        <f>D96*($B$40/8)</f>
        <v/>
      </c>
      <c r="F96" s="28">
        <f>IF($B$42&gt;E96,$C$48*E96,$C$50*E96+$C$51)</f>
        <v/>
      </c>
      <c r="G96" s="29">
        <f>$S$6*F96</f>
        <v/>
      </c>
      <c r="H96" s="34">
        <f>F88*$S$7</f>
        <v/>
      </c>
      <c r="I96" s="34">
        <f>$S$8*F80</f>
        <v/>
      </c>
      <c r="J96" s="37">
        <f>F72*$S$9</f>
        <v/>
      </c>
      <c r="K96" s="34">
        <f>$S$10*F64</f>
        <v/>
      </c>
      <c r="L96" s="37">
        <f>F56*$S$11</f>
        <v/>
      </c>
      <c r="M96" s="34">
        <f>$S$12*F48</f>
        <v/>
      </c>
      <c r="N96" s="37" t="n"/>
      <c r="O96" s="37" t="n"/>
      <c r="P96" s="34" t="n"/>
      <c r="Q96" s="37" t="n"/>
      <c r="R96" s="37" t="n"/>
      <c r="S96" s="33">
        <f>SUM(G96:R96)</f>
        <v/>
      </c>
    </row>
    <row r="97" ht="13.2" customHeight="1" s="53">
      <c r="D97" s="32" t="n">
        <v>56</v>
      </c>
      <c r="E97" s="27">
        <f>D97*($B$40/8)</f>
        <v/>
      </c>
      <c r="F97" s="28">
        <f>IF($B$42&gt;E97,$C$48*E97,$C$50*E97+$C$51)</f>
        <v/>
      </c>
      <c r="G97" s="29">
        <f>$S$6*F97</f>
        <v/>
      </c>
      <c r="H97" s="34">
        <f>F89*$S$7</f>
        <v/>
      </c>
      <c r="I97" s="34">
        <f>$S$8*F81</f>
        <v/>
      </c>
      <c r="J97" s="37">
        <f>F73*$S$9</f>
        <v/>
      </c>
      <c r="K97" s="34">
        <f>$S$10*F65</f>
        <v/>
      </c>
      <c r="L97" s="37">
        <f>F57*$S$11</f>
        <v/>
      </c>
      <c r="M97" s="34">
        <f>$S$12*F49</f>
        <v/>
      </c>
      <c r="N97" s="37">
        <f>F41*$S$13</f>
        <v/>
      </c>
      <c r="O97" s="37" t="n"/>
      <c r="P97" s="34" t="n"/>
      <c r="Q97" s="37" t="n"/>
      <c r="R97" s="37" t="n"/>
      <c r="S97" s="33">
        <f>SUM(G97:R97)</f>
        <v/>
      </c>
    </row>
    <row r="98" ht="13.2" customHeight="1" s="53">
      <c r="D98" s="32" t="n">
        <v>57</v>
      </c>
      <c r="E98" s="27">
        <f>D98*($B$40/8)</f>
        <v/>
      </c>
      <c r="F98" s="28">
        <f>IF($B$42&gt;E98,$C$48*E98,$C$50*E98+$C$51)</f>
        <v/>
      </c>
      <c r="G98" s="29">
        <f>$S$6*F98</f>
        <v/>
      </c>
      <c r="H98" s="34">
        <f>F90*$S$7</f>
        <v/>
      </c>
      <c r="I98" s="34">
        <f>$S$8*F82</f>
        <v/>
      </c>
      <c r="J98" s="37">
        <f>F74*$S$9</f>
        <v/>
      </c>
      <c r="K98" s="34">
        <f>$S$10*F66</f>
        <v/>
      </c>
      <c r="L98" s="37">
        <f>F58*$S$11</f>
        <v/>
      </c>
      <c r="M98" s="34">
        <f>$S$12*F50</f>
        <v/>
      </c>
      <c r="N98" s="37">
        <f>F42*$S$13</f>
        <v/>
      </c>
      <c r="O98" s="37" t="n"/>
      <c r="P98" s="34" t="n"/>
      <c r="Q98" s="37" t="n"/>
      <c r="R98" s="37" t="n"/>
      <c r="S98" s="33">
        <f>SUM(G98:R98)</f>
        <v/>
      </c>
    </row>
    <row r="99" ht="13.2" customHeight="1" s="53">
      <c r="D99" s="32" t="n">
        <v>58</v>
      </c>
      <c r="E99" s="27">
        <f>D99*($B$40/8)</f>
        <v/>
      </c>
      <c r="F99" s="28">
        <f>IF($B$42&gt;E99,$C$48*E99,$C$50*E99+$C$51)</f>
        <v/>
      </c>
      <c r="G99" s="29">
        <f>$S$6*F99</f>
        <v/>
      </c>
      <c r="H99" s="34">
        <f>F91*$S$7</f>
        <v/>
      </c>
      <c r="I99" s="34">
        <f>$S$8*F83</f>
        <v/>
      </c>
      <c r="J99" s="37">
        <f>F75*$S$9</f>
        <v/>
      </c>
      <c r="K99" s="34">
        <f>$S$10*F67</f>
        <v/>
      </c>
      <c r="L99" s="37">
        <f>F59*$S$11</f>
        <v/>
      </c>
      <c r="M99" s="34">
        <f>$S$12*F51</f>
        <v/>
      </c>
      <c r="N99" s="37">
        <f>F43*$S$13</f>
        <v/>
      </c>
      <c r="O99" s="37" t="n"/>
      <c r="P99" s="34" t="n"/>
      <c r="Q99" s="37" t="n"/>
      <c r="R99" s="37" t="n"/>
      <c r="S99" s="33">
        <f>SUM(G99:R99)</f>
        <v/>
      </c>
    </row>
    <row r="100" ht="13.2" customHeight="1" s="53">
      <c r="D100" s="32" t="n">
        <v>59</v>
      </c>
      <c r="E100" s="27">
        <f>D100*($B$40/8)</f>
        <v/>
      </c>
      <c r="F100" s="28">
        <f>IF($B$42&gt;E100,$C$48*E100,$C$50*E100+$C$51)</f>
        <v/>
      </c>
      <c r="G100" s="29">
        <f>$S$6*F100</f>
        <v/>
      </c>
      <c r="H100" s="34">
        <f>F92*$S$7</f>
        <v/>
      </c>
      <c r="I100" s="34">
        <f>$S$8*F84</f>
        <v/>
      </c>
      <c r="J100" s="37">
        <f>F76*$S$9</f>
        <v/>
      </c>
      <c r="K100" s="34">
        <f>$S$10*F68</f>
        <v/>
      </c>
      <c r="L100" s="37">
        <f>F60*$S$11</f>
        <v/>
      </c>
      <c r="M100" s="34">
        <f>$S$12*F52</f>
        <v/>
      </c>
      <c r="N100" s="37">
        <f>F44*$S$13</f>
        <v/>
      </c>
      <c r="O100" s="37" t="n"/>
      <c r="P100" s="34" t="n"/>
      <c r="Q100" s="37" t="n"/>
      <c r="R100" s="37" t="n"/>
      <c r="S100" s="33">
        <f>SUM(G100:R100)</f>
        <v/>
      </c>
    </row>
    <row r="101" ht="13.2" customHeight="1" s="53">
      <c r="D101" s="32" t="n">
        <v>60</v>
      </c>
      <c r="E101" s="27">
        <f>D101*($B$40/8)</f>
        <v/>
      </c>
      <c r="F101" s="28">
        <f>IF($B$42&gt;E101,$C$48*E101,$C$50*E101+$C$51)</f>
        <v/>
      </c>
      <c r="G101" s="29">
        <f>$S$6*F101</f>
        <v/>
      </c>
      <c r="H101" s="34">
        <f>F93*$S$7</f>
        <v/>
      </c>
      <c r="I101" s="34">
        <f>$S$8*F85</f>
        <v/>
      </c>
      <c r="J101" s="37">
        <f>F77*$S$9</f>
        <v/>
      </c>
      <c r="K101" s="34">
        <f>$S$10*F69</f>
        <v/>
      </c>
      <c r="L101" s="37">
        <f>F61*$S$11</f>
        <v/>
      </c>
      <c r="M101" s="34">
        <f>$S$12*F53</f>
        <v/>
      </c>
      <c r="N101" s="37">
        <f>F45*$S$13</f>
        <v/>
      </c>
      <c r="O101" s="37" t="n"/>
      <c r="P101" s="34" t="n"/>
      <c r="Q101" s="37" t="n"/>
      <c r="R101" s="37" t="n"/>
      <c r="S101" s="33">
        <f>SUM(G101:R101)</f>
        <v/>
      </c>
    </row>
    <row r="102" ht="13.2" customHeight="1" s="53">
      <c r="D102" s="32" t="n">
        <v>61</v>
      </c>
      <c r="E102" s="27">
        <f>D102*($B$40/8)</f>
        <v/>
      </c>
      <c r="F102" s="28">
        <f>IF($B$42&gt;E102,$C$48*E102,$C$50*E102+$C$51)</f>
        <v/>
      </c>
      <c r="G102" s="29">
        <f>$S$6*F102</f>
        <v/>
      </c>
      <c r="H102" s="34">
        <f>F94*$S$7</f>
        <v/>
      </c>
      <c r="I102" s="34">
        <f>$S$8*F86</f>
        <v/>
      </c>
      <c r="J102" s="37">
        <f>F78*$S$9</f>
        <v/>
      </c>
      <c r="K102" s="34">
        <f>$S$10*F70</f>
        <v/>
      </c>
      <c r="L102" s="37">
        <f>F62*$S$11</f>
        <v/>
      </c>
      <c r="M102" s="34">
        <f>$S$12*F54</f>
        <v/>
      </c>
      <c r="N102" s="37">
        <f>F46*$S$13</f>
        <v/>
      </c>
      <c r="O102" s="37" t="n"/>
      <c r="P102" s="34" t="n"/>
      <c r="Q102" s="37" t="n"/>
      <c r="R102" s="37" t="n"/>
      <c r="S102" s="33">
        <f>SUM(G102:R102)</f>
        <v/>
      </c>
    </row>
    <row r="103" ht="13.2" customHeight="1" s="53">
      <c r="D103" s="32" t="n">
        <v>62</v>
      </c>
      <c r="E103" s="27">
        <f>D103*($B$40/8)</f>
        <v/>
      </c>
      <c r="F103" s="28">
        <f>IF($B$42&gt;E103,$C$48*E103,$C$50*E103+$C$51)</f>
        <v/>
      </c>
      <c r="G103" s="29">
        <f>$S$6*F103</f>
        <v/>
      </c>
      <c r="H103" s="34">
        <f>F95*$S$7</f>
        <v/>
      </c>
      <c r="I103" s="34">
        <f>$S$8*F87</f>
        <v/>
      </c>
      <c r="J103" s="37">
        <f>F79*$S$9</f>
        <v/>
      </c>
      <c r="K103" s="34">
        <f>$S$10*F71</f>
        <v/>
      </c>
      <c r="L103" s="37">
        <f>F63*$S$11</f>
        <v/>
      </c>
      <c r="M103" s="34">
        <f>$S$12*F55</f>
        <v/>
      </c>
      <c r="N103" s="37">
        <f>F47*$S$13</f>
        <v/>
      </c>
      <c r="O103" s="37" t="n"/>
      <c r="P103" s="34" t="n"/>
      <c r="Q103" s="37" t="n"/>
      <c r="R103" s="37" t="n"/>
      <c r="S103" s="33">
        <f>SUM(G103:R103)</f>
        <v/>
      </c>
    </row>
    <row r="104" ht="13.2" customHeight="1" s="53">
      <c r="D104" s="32" t="n">
        <v>63</v>
      </c>
      <c r="E104" s="27">
        <f>D104*($B$40/8)</f>
        <v/>
      </c>
      <c r="F104" s="28">
        <f>IF($B$42&gt;E104,$C$48*E104,$C$50*E104+$C$51)</f>
        <v/>
      </c>
      <c r="G104" s="29">
        <f>$S$6*F104</f>
        <v/>
      </c>
      <c r="H104" s="34">
        <f>F96*$S$7</f>
        <v/>
      </c>
      <c r="I104" s="34">
        <f>$S$8*F88</f>
        <v/>
      </c>
      <c r="J104" s="37">
        <f>F80*$S$9</f>
        <v/>
      </c>
      <c r="K104" s="34">
        <f>$S$10*F72</f>
        <v/>
      </c>
      <c r="L104" s="37">
        <f>F64*$S$11</f>
        <v/>
      </c>
      <c r="M104" s="34">
        <f>$S$12*F56</f>
        <v/>
      </c>
      <c r="N104" s="37">
        <f>F48*$S$13</f>
        <v/>
      </c>
      <c r="O104" s="37" t="n"/>
      <c r="P104" s="34" t="n"/>
      <c r="Q104" s="37" t="n"/>
      <c r="R104" s="37" t="n"/>
      <c r="S104" s="33">
        <f>SUM(G104:R104)</f>
        <v/>
      </c>
    </row>
    <row r="105" ht="13.2" customHeight="1" s="53">
      <c r="D105" s="32" t="n">
        <v>64</v>
      </c>
      <c r="E105" s="27">
        <f>D105*($B$40/8)</f>
        <v/>
      </c>
      <c r="F105" s="28">
        <f>IF($B$42&gt;E105,$C$48*E105,$C$50*E105+$C$51)</f>
        <v/>
      </c>
      <c r="G105" s="29">
        <f>$S$6*F105</f>
        <v/>
      </c>
      <c r="H105" s="34">
        <f>F97*$S$7</f>
        <v/>
      </c>
      <c r="I105" s="34">
        <f>$S$8*F89</f>
        <v/>
      </c>
      <c r="J105" s="37">
        <f>F81*$S$9</f>
        <v/>
      </c>
      <c r="K105" s="34">
        <f>$S$10*F73</f>
        <v/>
      </c>
      <c r="L105" s="37">
        <f>F65*$S$11</f>
        <v/>
      </c>
      <c r="M105" s="34">
        <f>$S$12*F57</f>
        <v/>
      </c>
      <c r="N105" s="37">
        <f>F49*$S$13</f>
        <v/>
      </c>
      <c r="O105" s="37">
        <f>F41*$S$14</f>
        <v/>
      </c>
      <c r="P105" s="34" t="n"/>
      <c r="Q105" s="37" t="n"/>
      <c r="R105" s="37" t="n"/>
      <c r="S105" s="33">
        <f>SUM(G105:R105)</f>
        <v/>
      </c>
    </row>
    <row r="106" ht="13.2" customHeight="1" s="53">
      <c r="D106" s="32" t="n">
        <v>65</v>
      </c>
      <c r="E106" s="27">
        <f>D106*($B$40/8)</f>
        <v/>
      </c>
      <c r="F106" s="28">
        <f>IF($B$42&gt;E106,$C$48*E106,$C$50*E106+$C$51)</f>
        <v/>
      </c>
      <c r="G106" s="29">
        <f>$S$6*F106</f>
        <v/>
      </c>
      <c r="H106" s="34">
        <f>F98*$S$7</f>
        <v/>
      </c>
      <c r="I106" s="34">
        <f>$S$8*F90</f>
        <v/>
      </c>
      <c r="J106" s="37">
        <f>F82*$S$9</f>
        <v/>
      </c>
      <c r="K106" s="34">
        <f>$S$10*F74</f>
        <v/>
      </c>
      <c r="L106" s="37">
        <f>F66*$S$11</f>
        <v/>
      </c>
      <c r="M106" s="34">
        <f>$S$12*F58</f>
        <v/>
      </c>
      <c r="N106" s="37">
        <f>F50*$S$13</f>
        <v/>
      </c>
      <c r="O106" s="37">
        <f>F42*$S$14</f>
        <v/>
      </c>
      <c r="P106" s="34" t="n"/>
      <c r="Q106" s="37" t="n"/>
      <c r="R106" s="37" t="n"/>
      <c r="S106" s="33">
        <f>SUM(G106:R106)</f>
        <v/>
      </c>
    </row>
    <row r="107" ht="13.2" customHeight="1" s="53">
      <c r="D107" s="32" t="n">
        <v>66</v>
      </c>
      <c r="E107" s="27">
        <f>D107*($B$40/8)</f>
        <v/>
      </c>
      <c r="F107" s="28">
        <f>IF($B$42&gt;E107,$C$48*E107,$C$50*E107+$C$51)</f>
        <v/>
      </c>
      <c r="G107" s="29">
        <f>$S$6*F107</f>
        <v/>
      </c>
      <c r="H107" s="34">
        <f>F99*$S$7</f>
        <v/>
      </c>
      <c r="I107" s="34">
        <f>$S$8*F91</f>
        <v/>
      </c>
      <c r="J107" s="37">
        <f>F83*$S$9</f>
        <v/>
      </c>
      <c r="K107" s="34">
        <f>$S$10*F75</f>
        <v/>
      </c>
      <c r="L107" s="37">
        <f>F67*$S$11</f>
        <v/>
      </c>
      <c r="M107" s="34">
        <f>$S$12*F59</f>
        <v/>
      </c>
      <c r="N107" s="37">
        <f>F51*$S$13</f>
        <v/>
      </c>
      <c r="O107" s="37">
        <f>F43*$S$14</f>
        <v/>
      </c>
      <c r="P107" s="34" t="n"/>
      <c r="Q107" s="37" t="n"/>
      <c r="R107" s="37" t="n"/>
      <c r="S107" s="33">
        <f>SUM(G107:R107)</f>
        <v/>
      </c>
    </row>
    <row r="108" ht="13.2" customHeight="1" s="53">
      <c r="D108" s="32" t="n">
        <v>67</v>
      </c>
      <c r="E108" s="27">
        <f>D108*($B$40/8)</f>
        <v/>
      </c>
      <c r="F108" s="28">
        <f>IF($B$42&gt;E108,$C$48*E108,$C$50*E108+$C$51)</f>
        <v/>
      </c>
      <c r="G108" s="29">
        <f>$S$6*F108</f>
        <v/>
      </c>
      <c r="H108" s="34">
        <f>F100*$S$7</f>
        <v/>
      </c>
      <c r="I108" s="34">
        <f>$S$8*F92</f>
        <v/>
      </c>
      <c r="J108" s="37">
        <f>F84*$S$9</f>
        <v/>
      </c>
      <c r="K108" s="34">
        <f>$S$10*F76</f>
        <v/>
      </c>
      <c r="L108" s="37">
        <f>F68*$S$11</f>
        <v/>
      </c>
      <c r="M108" s="34">
        <f>$S$12*F60</f>
        <v/>
      </c>
      <c r="N108" s="37">
        <f>F52*$S$13</f>
        <v/>
      </c>
      <c r="O108" s="37">
        <f>F44*$S$14</f>
        <v/>
      </c>
      <c r="P108" s="34" t="n"/>
      <c r="Q108" s="37" t="n"/>
      <c r="R108" s="37" t="n"/>
      <c r="S108" s="33">
        <f>SUM(G108:R108)</f>
        <v/>
      </c>
    </row>
    <row r="109" ht="13.2" customHeight="1" s="53">
      <c r="D109" s="32" t="n">
        <v>68</v>
      </c>
      <c r="E109" s="27">
        <f>D109*($B$40/8)</f>
        <v/>
      </c>
      <c r="F109" s="28">
        <f>IF($B$42&gt;E109,$C$48*E109,$C$50*E109+$C$51)</f>
        <v/>
      </c>
      <c r="G109" s="29">
        <f>$S$6*F109</f>
        <v/>
      </c>
      <c r="H109" s="34">
        <f>F101*$S$7</f>
        <v/>
      </c>
      <c r="I109" s="34">
        <f>$S$8*F93</f>
        <v/>
      </c>
      <c r="J109" s="37">
        <f>F85*$S$9</f>
        <v/>
      </c>
      <c r="K109" s="34">
        <f>$S$10*F77</f>
        <v/>
      </c>
      <c r="L109" s="37">
        <f>F69*$S$11</f>
        <v/>
      </c>
      <c r="M109" s="34">
        <f>$S$12*F61</f>
        <v/>
      </c>
      <c r="N109" s="37">
        <f>F53*$S$13</f>
        <v/>
      </c>
      <c r="O109" s="37">
        <f>F45*$S$14</f>
        <v/>
      </c>
      <c r="P109" s="34" t="n"/>
      <c r="Q109" s="37" t="n"/>
      <c r="R109" s="37" t="n"/>
      <c r="S109" s="33">
        <f>SUM(G109:R109)</f>
        <v/>
      </c>
    </row>
    <row r="110" ht="13.2" customHeight="1" s="53">
      <c r="D110" s="32" t="n">
        <v>69</v>
      </c>
      <c r="E110" s="27">
        <f>D110*($B$40/8)</f>
        <v/>
      </c>
      <c r="F110" s="28">
        <f>IF($B$42&gt;E110,$C$48*E110,$C$50*E110+$C$51)</f>
        <v/>
      </c>
      <c r="G110" s="29">
        <f>$S$6*F110</f>
        <v/>
      </c>
      <c r="H110" s="34">
        <f>F102*$S$7</f>
        <v/>
      </c>
      <c r="I110" s="34">
        <f>$S$8*F94</f>
        <v/>
      </c>
      <c r="J110" s="37">
        <f>F86*$S$9</f>
        <v/>
      </c>
      <c r="K110" s="34">
        <f>$S$10*F78</f>
        <v/>
      </c>
      <c r="L110" s="37">
        <f>F70*$S$11</f>
        <v/>
      </c>
      <c r="M110" s="34">
        <f>$S$12*F62</f>
        <v/>
      </c>
      <c r="N110" s="37">
        <f>F54*$S$13</f>
        <v/>
      </c>
      <c r="O110" s="37">
        <f>F46*$S$14</f>
        <v/>
      </c>
      <c r="P110" s="34" t="n"/>
      <c r="Q110" s="37" t="n"/>
      <c r="R110" s="37" t="n"/>
      <c r="S110" s="33">
        <f>SUM(G110:R110)</f>
        <v/>
      </c>
    </row>
    <row r="111" ht="13.2" customHeight="1" s="53">
      <c r="D111" s="32" t="n">
        <v>70</v>
      </c>
      <c r="E111" s="27">
        <f>D111*($B$40/8)</f>
        <v/>
      </c>
      <c r="F111" s="28">
        <f>IF($B$42&gt;E111,$C$48*E111,$C$50*E111+$C$51)</f>
        <v/>
      </c>
      <c r="G111" s="29">
        <f>$S$6*F111</f>
        <v/>
      </c>
      <c r="H111" s="34">
        <f>F103*$S$7</f>
        <v/>
      </c>
      <c r="I111" s="34">
        <f>$S$8*F95</f>
        <v/>
      </c>
      <c r="J111" s="37">
        <f>F87*$S$9</f>
        <v/>
      </c>
      <c r="K111" s="34">
        <f>$S$10*F79</f>
        <v/>
      </c>
      <c r="L111" s="37">
        <f>F71*$S$11</f>
        <v/>
      </c>
      <c r="M111" s="34">
        <f>$S$12*F63</f>
        <v/>
      </c>
      <c r="N111" s="37">
        <f>F55*$S$13</f>
        <v/>
      </c>
      <c r="O111" s="37">
        <f>F47*$S$14</f>
        <v/>
      </c>
      <c r="P111" s="34" t="n"/>
      <c r="Q111" s="37" t="n"/>
      <c r="R111" s="37" t="n"/>
      <c r="S111" s="33">
        <f>SUM(G111:R111)</f>
        <v/>
      </c>
    </row>
    <row r="112" ht="13.2" customHeight="1" s="53">
      <c r="D112" s="32" t="n">
        <v>71</v>
      </c>
      <c r="E112" s="27">
        <f>D112*($B$40/8)</f>
        <v/>
      </c>
      <c r="F112" s="28">
        <f>IF($B$42&gt;E112,$C$48*E112,$C$50*E112+$C$51)</f>
        <v/>
      </c>
      <c r="G112" s="29">
        <f>$S$6*F112</f>
        <v/>
      </c>
      <c r="H112" s="34">
        <f>F104*$S$7</f>
        <v/>
      </c>
      <c r="I112" s="34">
        <f>$S$8*F96</f>
        <v/>
      </c>
      <c r="J112" s="37">
        <f>F88*$S$9</f>
        <v/>
      </c>
      <c r="K112" s="34">
        <f>$S$10*F80</f>
        <v/>
      </c>
      <c r="L112" s="37">
        <f>F72*$S$11</f>
        <v/>
      </c>
      <c r="M112" s="34">
        <f>$S$12*F64</f>
        <v/>
      </c>
      <c r="N112" s="37">
        <f>F56*$S$13</f>
        <v/>
      </c>
      <c r="O112" s="37">
        <f>F48*$S$14</f>
        <v/>
      </c>
      <c r="P112" s="34" t="n"/>
      <c r="Q112" s="37" t="n"/>
      <c r="R112" s="37" t="n"/>
      <c r="S112" s="33">
        <f>SUM(G112:R112)</f>
        <v/>
      </c>
    </row>
    <row r="113" ht="13.2" customHeight="1" s="53">
      <c r="D113" s="32" t="n">
        <v>72</v>
      </c>
      <c r="E113" s="27">
        <f>D113*($B$40/8)</f>
        <v/>
      </c>
      <c r="F113" s="28">
        <f>IF($B$42&gt;E113,$C$48*E113,$C$50*E113+$C$51)</f>
        <v/>
      </c>
      <c r="G113" s="29">
        <f>$S$6*F113</f>
        <v/>
      </c>
      <c r="H113" s="34">
        <f>F105*$S$7</f>
        <v/>
      </c>
      <c r="I113" s="34">
        <f>$S$8*F97</f>
        <v/>
      </c>
      <c r="J113" s="37">
        <f>F89*$S$9</f>
        <v/>
      </c>
      <c r="K113" s="34">
        <f>$S$10*F81</f>
        <v/>
      </c>
      <c r="L113" s="37">
        <f>F73*$S$11</f>
        <v/>
      </c>
      <c r="M113" s="34">
        <f>$S$12*F65</f>
        <v/>
      </c>
      <c r="N113" s="37">
        <f>F57*$S$13</f>
        <v/>
      </c>
      <c r="O113" s="37">
        <f>F49*$S$14</f>
        <v/>
      </c>
      <c r="P113" s="34">
        <f>$S$15*F41</f>
        <v/>
      </c>
      <c r="Q113" s="37" t="n"/>
      <c r="R113" s="37" t="n"/>
      <c r="S113" s="33">
        <f>SUM(G113:R113)</f>
        <v/>
      </c>
    </row>
    <row r="114" ht="13.2" customHeight="1" s="53">
      <c r="D114" s="32" t="n">
        <v>73</v>
      </c>
      <c r="E114" s="27">
        <f>D114*($B$40/8)</f>
        <v/>
      </c>
      <c r="F114" s="28">
        <f>IF($B$42&gt;E114,$C$48*E114,$C$50*E114+$C$51)</f>
        <v/>
      </c>
      <c r="G114" s="29">
        <f>$S$6*F114</f>
        <v/>
      </c>
      <c r="H114" s="34">
        <f>F106*$S$7</f>
        <v/>
      </c>
      <c r="I114" s="34">
        <f>$S$8*F98</f>
        <v/>
      </c>
      <c r="J114" s="37">
        <f>F90*$S$9</f>
        <v/>
      </c>
      <c r="K114" s="34">
        <f>$S$10*F82</f>
        <v/>
      </c>
      <c r="L114" s="37">
        <f>F74*$S$11</f>
        <v/>
      </c>
      <c r="M114" s="34">
        <f>$S$12*F66</f>
        <v/>
      </c>
      <c r="N114" s="37">
        <f>F58*$S$13</f>
        <v/>
      </c>
      <c r="O114" s="37">
        <f>F50*$S$14</f>
        <v/>
      </c>
      <c r="P114" s="34">
        <f>$S$15*F42</f>
        <v/>
      </c>
      <c r="Q114" s="37" t="n"/>
      <c r="R114" s="37" t="n"/>
      <c r="S114" s="33">
        <f>SUM(G114:R114)</f>
        <v/>
      </c>
    </row>
    <row r="115" ht="13.2" customHeight="1" s="53">
      <c r="D115" s="32" t="n">
        <v>74</v>
      </c>
      <c r="E115" s="27">
        <f>D115*($B$40/8)</f>
        <v/>
      </c>
      <c r="F115" s="28">
        <f>IF($B$42&gt;E115,$C$48*E115,$C$50*E115+$C$51)</f>
        <v/>
      </c>
      <c r="G115" s="29">
        <f>$S$6*F115</f>
        <v/>
      </c>
      <c r="H115" s="34">
        <f>F107*$S$7</f>
        <v/>
      </c>
      <c r="I115" s="34">
        <f>$S$8*F99</f>
        <v/>
      </c>
      <c r="J115" s="37">
        <f>F91*$S$9</f>
        <v/>
      </c>
      <c r="K115" s="34">
        <f>$S$10*F83</f>
        <v/>
      </c>
      <c r="L115" s="37">
        <f>F75*$S$11</f>
        <v/>
      </c>
      <c r="M115" s="34">
        <f>$S$12*F67</f>
        <v/>
      </c>
      <c r="N115" s="37">
        <f>F59*$S$13</f>
        <v/>
      </c>
      <c r="O115" s="37">
        <f>F51*$S$14</f>
        <v/>
      </c>
      <c r="P115" s="34">
        <f>$S$15*F43</f>
        <v/>
      </c>
      <c r="Q115" s="37" t="n"/>
      <c r="R115" s="37" t="n"/>
      <c r="S115" s="33">
        <f>SUM(G115:R115)</f>
        <v/>
      </c>
    </row>
    <row r="116" ht="13.2" customHeight="1" s="53">
      <c r="D116" s="32" t="n">
        <v>75</v>
      </c>
      <c r="E116" s="27">
        <f>D116*($B$40/8)</f>
        <v/>
      </c>
      <c r="F116" s="28">
        <f>IF($B$42&gt;E116,$C$48*E116,$C$50*E116+$C$51)</f>
        <v/>
      </c>
      <c r="G116" s="29">
        <f>$S$6*F116</f>
        <v/>
      </c>
      <c r="H116" s="34">
        <f>F108*$S$7</f>
        <v/>
      </c>
      <c r="I116" s="34">
        <f>$S$8*F100</f>
        <v/>
      </c>
      <c r="J116" s="37">
        <f>F92*$S$9</f>
        <v/>
      </c>
      <c r="K116" s="34">
        <f>$S$10*F84</f>
        <v/>
      </c>
      <c r="L116" s="37">
        <f>F76*$S$11</f>
        <v/>
      </c>
      <c r="M116" s="34">
        <f>$S$12*F68</f>
        <v/>
      </c>
      <c r="N116" s="37">
        <f>F60*$S$13</f>
        <v/>
      </c>
      <c r="O116" s="37">
        <f>F52*$S$14</f>
        <v/>
      </c>
      <c r="P116" s="34">
        <f>$S$15*F44</f>
        <v/>
      </c>
      <c r="Q116" s="37" t="n"/>
      <c r="R116" s="37" t="n"/>
      <c r="S116" s="33">
        <f>SUM(G116:R116)</f>
        <v/>
      </c>
    </row>
    <row r="117" ht="13.2" customHeight="1" s="53">
      <c r="D117" s="32" t="n">
        <v>76</v>
      </c>
      <c r="E117" s="27">
        <f>D117*($B$40/8)</f>
        <v/>
      </c>
      <c r="F117" s="28">
        <f>IF($B$42&gt;E117,$C$48*E117,$C$50*E117+$C$51)</f>
        <v/>
      </c>
      <c r="G117" s="29">
        <f>$S$6*F117</f>
        <v/>
      </c>
      <c r="H117" s="34">
        <f>F109*$S$7</f>
        <v/>
      </c>
      <c r="I117" s="34">
        <f>$S$8*F101</f>
        <v/>
      </c>
      <c r="J117" s="37">
        <f>F93*$S$9</f>
        <v/>
      </c>
      <c r="K117" s="34">
        <f>$S$10*F85</f>
        <v/>
      </c>
      <c r="L117" s="37">
        <f>F77*$S$11</f>
        <v/>
      </c>
      <c r="M117" s="34">
        <f>$S$12*F69</f>
        <v/>
      </c>
      <c r="N117" s="37">
        <f>F61*$S$13</f>
        <v/>
      </c>
      <c r="O117" s="37">
        <f>F53*$S$14</f>
        <v/>
      </c>
      <c r="P117" s="34">
        <f>$S$15*F45</f>
        <v/>
      </c>
      <c r="Q117" s="37" t="n"/>
      <c r="R117" s="37" t="n"/>
      <c r="S117" s="33">
        <f>SUM(G117:R117)</f>
        <v/>
      </c>
    </row>
    <row r="118" ht="13.2" customHeight="1" s="53">
      <c r="D118" s="32" t="n">
        <v>77</v>
      </c>
      <c r="E118" s="27">
        <f>D118*($B$40/8)</f>
        <v/>
      </c>
      <c r="F118" s="28">
        <f>IF($B$42&gt;E118,$C$48*E118,$C$50*E118+$C$51)</f>
        <v/>
      </c>
      <c r="G118" s="29">
        <f>$S$6*F118</f>
        <v/>
      </c>
      <c r="H118" s="34">
        <f>F110*$S$7</f>
        <v/>
      </c>
      <c r="I118" s="34">
        <f>$S$8*F102</f>
        <v/>
      </c>
      <c r="J118" s="37">
        <f>F94*$S$9</f>
        <v/>
      </c>
      <c r="K118" s="34">
        <f>$S$10*F86</f>
        <v/>
      </c>
      <c r="L118" s="37">
        <f>F78*$S$11</f>
        <v/>
      </c>
      <c r="M118" s="34">
        <f>$S$12*F70</f>
        <v/>
      </c>
      <c r="N118" s="37">
        <f>F62*$S$13</f>
        <v/>
      </c>
      <c r="O118" s="37">
        <f>F54*$S$14</f>
        <v/>
      </c>
      <c r="P118" s="34">
        <f>$S$15*F46</f>
        <v/>
      </c>
      <c r="Q118" s="37" t="n"/>
      <c r="R118" s="37" t="n"/>
      <c r="S118" s="33">
        <f>SUM(G118:R118)</f>
        <v/>
      </c>
    </row>
    <row r="119" ht="13.2" customHeight="1" s="53">
      <c r="D119" s="32" t="n">
        <v>78</v>
      </c>
      <c r="E119" s="27">
        <f>D119*($B$40/8)</f>
        <v/>
      </c>
      <c r="F119" s="28">
        <f>IF($B$42&gt;E119,$C$48*E119,$C$50*E119+$C$51)</f>
        <v/>
      </c>
      <c r="G119" s="29">
        <f>$S$6*F119</f>
        <v/>
      </c>
      <c r="H119" s="34">
        <f>F111*$S$7</f>
        <v/>
      </c>
      <c r="I119" s="34">
        <f>$S$8*F103</f>
        <v/>
      </c>
      <c r="J119" s="37">
        <f>F95*$S$9</f>
        <v/>
      </c>
      <c r="K119" s="34">
        <f>$S$10*F87</f>
        <v/>
      </c>
      <c r="L119" s="37">
        <f>F79*$S$11</f>
        <v/>
      </c>
      <c r="M119" s="34">
        <f>$S$12*F71</f>
        <v/>
      </c>
      <c r="N119" s="37">
        <f>F63*$S$13</f>
        <v/>
      </c>
      <c r="O119" s="37">
        <f>F55*$S$14</f>
        <v/>
      </c>
      <c r="P119" s="34">
        <f>$S$15*F47</f>
        <v/>
      </c>
      <c r="Q119" s="37" t="n"/>
      <c r="R119" s="37" t="n"/>
      <c r="S119" s="33">
        <f>SUM(G119:R119)</f>
        <v/>
      </c>
    </row>
    <row r="120" ht="13.2" customHeight="1" s="53">
      <c r="D120" s="32" t="n">
        <v>79</v>
      </c>
      <c r="E120" s="27">
        <f>D120*($B$40/8)</f>
        <v/>
      </c>
      <c r="F120" s="28">
        <f>IF($B$42&gt;E120,$C$48*E120,$C$50*E120+$C$51)</f>
        <v/>
      </c>
      <c r="G120" s="29">
        <f>$S$6*F120</f>
        <v/>
      </c>
      <c r="H120" s="34">
        <f>F112*$S$7</f>
        <v/>
      </c>
      <c r="I120" s="34">
        <f>$S$8*F104</f>
        <v/>
      </c>
      <c r="J120" s="37">
        <f>F96*$S$9</f>
        <v/>
      </c>
      <c r="K120" s="34">
        <f>$S$10*F88</f>
        <v/>
      </c>
      <c r="L120" s="37">
        <f>F80*$S$11</f>
        <v/>
      </c>
      <c r="M120" s="34">
        <f>$S$12*F72</f>
        <v/>
      </c>
      <c r="N120" s="37">
        <f>F64*$S$13</f>
        <v/>
      </c>
      <c r="O120" s="37">
        <f>F56*$S$14</f>
        <v/>
      </c>
      <c r="P120" s="34">
        <f>$S$15*F48</f>
        <v/>
      </c>
      <c r="Q120" s="37" t="n"/>
      <c r="R120" s="37" t="n"/>
      <c r="S120" s="33">
        <f>SUM(G120:R120)</f>
        <v/>
      </c>
    </row>
    <row r="121" ht="13.2" customHeight="1" s="53">
      <c r="D121" s="32" t="n">
        <v>80</v>
      </c>
      <c r="E121" s="27">
        <f>D121*($B$40/8)</f>
        <v/>
      </c>
      <c r="F121" s="28">
        <f>IF($B$42&gt;E121,$C$48*E121,$C$50*E121+$C$51)</f>
        <v/>
      </c>
      <c r="G121" s="29">
        <f>$S$6*F121</f>
        <v/>
      </c>
      <c r="H121" s="34">
        <f>F113*$S$7</f>
        <v/>
      </c>
      <c r="I121" s="34">
        <f>$S$8*F105</f>
        <v/>
      </c>
      <c r="J121" s="37">
        <f>F97*$S$9</f>
        <v/>
      </c>
      <c r="K121" s="34">
        <f>$S$10*F89</f>
        <v/>
      </c>
      <c r="L121" s="37">
        <f>F81*$S$11</f>
        <v/>
      </c>
      <c r="M121" s="34">
        <f>$S$12*F73</f>
        <v/>
      </c>
      <c r="N121" s="37">
        <f>F65*$S$13</f>
        <v/>
      </c>
      <c r="O121" s="37">
        <f>F57*$S$14</f>
        <v/>
      </c>
      <c r="P121" s="34">
        <f>$S$15*F49</f>
        <v/>
      </c>
      <c r="Q121" s="37">
        <f>F41*$S$16</f>
        <v/>
      </c>
      <c r="R121" s="37" t="n"/>
      <c r="S121" s="33">
        <f>SUM(G121:R121)</f>
        <v/>
      </c>
    </row>
    <row r="122" ht="13.2" customHeight="1" s="53">
      <c r="D122" s="32" t="n">
        <v>81</v>
      </c>
      <c r="E122" s="27">
        <f>D122*($B$40/8)</f>
        <v/>
      </c>
      <c r="F122" s="28">
        <f>IF($B$42&gt;E122,$C$48*E122,$C$50*E122+$C$51)</f>
        <v/>
      </c>
      <c r="G122" s="29">
        <f>$S$6*F122</f>
        <v/>
      </c>
      <c r="H122" s="34">
        <f>F114*$S$7</f>
        <v/>
      </c>
      <c r="I122" s="34">
        <f>$S$8*F106</f>
        <v/>
      </c>
      <c r="J122" s="37">
        <f>F98*$S$9</f>
        <v/>
      </c>
      <c r="K122" s="34">
        <f>$S$10*F90</f>
        <v/>
      </c>
      <c r="L122" s="37">
        <f>F82*$S$11</f>
        <v/>
      </c>
      <c r="M122" s="34">
        <f>$S$12*F74</f>
        <v/>
      </c>
      <c r="N122" s="37">
        <f>F66*$S$13</f>
        <v/>
      </c>
      <c r="O122" s="37">
        <f>F58*$S$14</f>
        <v/>
      </c>
      <c r="P122" s="34">
        <f>$S$15*F50</f>
        <v/>
      </c>
      <c r="Q122" s="37">
        <f>F42*$S$16</f>
        <v/>
      </c>
      <c r="R122" s="37" t="n"/>
      <c r="S122" s="33">
        <f>SUM(G122:R122)</f>
        <v/>
      </c>
    </row>
    <row r="123" ht="13.2" customHeight="1" s="53">
      <c r="D123" s="32" t="n">
        <v>82</v>
      </c>
      <c r="E123" s="27">
        <f>D123*($B$40/8)</f>
        <v/>
      </c>
      <c r="F123" s="28">
        <f>IF($B$42&gt;E123,$C$48*E123,$C$50*E123+$C$51)</f>
        <v/>
      </c>
      <c r="G123" s="29">
        <f>$S$6*F123</f>
        <v/>
      </c>
      <c r="H123" s="34">
        <f>F115*$S$7</f>
        <v/>
      </c>
      <c r="I123" s="34">
        <f>$S$8*F107</f>
        <v/>
      </c>
      <c r="J123" s="37">
        <f>F99*$S$9</f>
        <v/>
      </c>
      <c r="K123" s="34">
        <f>$S$10*F91</f>
        <v/>
      </c>
      <c r="L123" s="37">
        <f>F83*$S$11</f>
        <v/>
      </c>
      <c r="M123" s="34">
        <f>$S$12*F75</f>
        <v/>
      </c>
      <c r="N123" s="37">
        <f>F67*$S$13</f>
        <v/>
      </c>
      <c r="O123" s="37">
        <f>F59*$S$14</f>
        <v/>
      </c>
      <c r="P123" s="34">
        <f>$S$15*F51</f>
        <v/>
      </c>
      <c r="Q123" s="37">
        <f>F43*$S$16</f>
        <v/>
      </c>
      <c r="R123" s="37" t="n"/>
      <c r="S123" s="33">
        <f>SUM(G123:R123)</f>
        <v/>
      </c>
    </row>
    <row r="124" ht="13.2" customHeight="1" s="53">
      <c r="D124" s="32" t="n">
        <v>83</v>
      </c>
      <c r="E124" s="27">
        <f>D124*($B$40/8)</f>
        <v/>
      </c>
      <c r="F124" s="28">
        <f>IF($B$42&gt;E124,$C$48*E124,$C$50*E124+$C$51)</f>
        <v/>
      </c>
      <c r="G124" s="29">
        <f>$S$6*F124</f>
        <v/>
      </c>
      <c r="H124" s="34">
        <f>F116*$S$7</f>
        <v/>
      </c>
      <c r="I124" s="34">
        <f>$S$8*F108</f>
        <v/>
      </c>
      <c r="J124" s="37">
        <f>F100*$S$9</f>
        <v/>
      </c>
      <c r="K124" s="34">
        <f>$S$10*F92</f>
        <v/>
      </c>
      <c r="L124" s="37">
        <f>F84*$S$11</f>
        <v/>
      </c>
      <c r="M124" s="34">
        <f>$S$12*F76</f>
        <v/>
      </c>
      <c r="N124" s="37">
        <f>F68*$S$13</f>
        <v/>
      </c>
      <c r="O124" s="37">
        <f>F60*$S$14</f>
        <v/>
      </c>
      <c r="P124" s="34">
        <f>$S$15*F52</f>
        <v/>
      </c>
      <c r="Q124" s="37">
        <f>F44*$S$16</f>
        <v/>
      </c>
      <c r="R124" s="37" t="n"/>
      <c r="S124" s="33">
        <f>SUM(G124:R124)</f>
        <v/>
      </c>
    </row>
    <row r="125" ht="13.2" customHeight="1" s="53">
      <c r="D125" s="32" t="n">
        <v>84</v>
      </c>
      <c r="E125" s="27">
        <f>D125*($B$40/8)</f>
        <v/>
      </c>
      <c r="F125" s="28">
        <f>IF($B$42&gt;E125,$C$48*E125,$C$50*E125+$C$51)</f>
        <v/>
      </c>
      <c r="G125" s="29">
        <f>$S$6*F125</f>
        <v/>
      </c>
      <c r="H125" s="34">
        <f>F117*$S$7</f>
        <v/>
      </c>
      <c r="I125" s="34">
        <f>$S$8*F109</f>
        <v/>
      </c>
      <c r="J125" s="37">
        <f>F101*$S$9</f>
        <v/>
      </c>
      <c r="K125" s="34">
        <f>$S$10*F93</f>
        <v/>
      </c>
      <c r="L125" s="37">
        <f>F85*$S$11</f>
        <v/>
      </c>
      <c r="M125" s="34">
        <f>$S$12*F77</f>
        <v/>
      </c>
      <c r="N125" s="37">
        <f>F69*$S$13</f>
        <v/>
      </c>
      <c r="O125" s="37">
        <f>F61*$S$14</f>
        <v/>
      </c>
      <c r="P125" s="34">
        <f>$S$15*F53</f>
        <v/>
      </c>
      <c r="Q125" s="37">
        <f>F45*$S$16</f>
        <v/>
      </c>
      <c r="R125" s="37" t="n"/>
      <c r="S125" s="33">
        <f>SUM(G125:R125)</f>
        <v/>
      </c>
    </row>
    <row r="126" ht="13.2" customHeight="1" s="53">
      <c r="D126" s="32" t="n">
        <v>85</v>
      </c>
      <c r="E126" s="27">
        <f>D126*($B$40/8)</f>
        <v/>
      </c>
      <c r="F126" s="28">
        <f>IF($B$42&gt;E126,$C$48*E126,$C$50*E126+$C$51)</f>
        <v/>
      </c>
      <c r="G126" s="29">
        <f>$S$6*F126</f>
        <v/>
      </c>
      <c r="H126" s="34">
        <f>F118*$S$7</f>
        <v/>
      </c>
      <c r="I126" s="34">
        <f>$S$8*F110</f>
        <v/>
      </c>
      <c r="J126" s="37">
        <f>F102*$S$9</f>
        <v/>
      </c>
      <c r="K126" s="34">
        <f>$S$10*F94</f>
        <v/>
      </c>
      <c r="L126" s="37">
        <f>F86*$S$11</f>
        <v/>
      </c>
      <c r="M126" s="34">
        <f>$S$12*F78</f>
        <v/>
      </c>
      <c r="N126" s="37">
        <f>F70*$S$13</f>
        <v/>
      </c>
      <c r="O126" s="37">
        <f>F62*$S$14</f>
        <v/>
      </c>
      <c r="P126" s="34">
        <f>$S$15*F54</f>
        <v/>
      </c>
      <c r="Q126" s="37">
        <f>F46*$S$16</f>
        <v/>
      </c>
      <c r="R126" s="37" t="n"/>
      <c r="S126" s="33">
        <f>SUM(G126:R126)</f>
        <v/>
      </c>
    </row>
    <row r="127" ht="13.2" customHeight="1" s="53">
      <c r="D127" s="32" t="n">
        <v>86</v>
      </c>
      <c r="E127" s="27">
        <f>D127*($B$40/8)</f>
        <v/>
      </c>
      <c r="F127" s="28">
        <f>IF($B$42&gt;E127,$C$48*E127,$C$50*E127+$C$51)</f>
        <v/>
      </c>
      <c r="G127" s="29">
        <f>$S$6*F127</f>
        <v/>
      </c>
      <c r="H127" s="34">
        <f>F119*$S$7</f>
        <v/>
      </c>
      <c r="I127" s="34">
        <f>$S$8*F111</f>
        <v/>
      </c>
      <c r="J127" s="37">
        <f>F103*$S$9</f>
        <v/>
      </c>
      <c r="K127" s="34">
        <f>$S$10*F95</f>
        <v/>
      </c>
      <c r="L127" s="37">
        <f>F87*$S$11</f>
        <v/>
      </c>
      <c r="M127" s="34">
        <f>$S$12*F79</f>
        <v/>
      </c>
      <c r="N127" s="37">
        <f>F71*$S$13</f>
        <v/>
      </c>
      <c r="O127" s="37">
        <f>F63*$S$14</f>
        <v/>
      </c>
      <c r="P127" s="34">
        <f>$S$15*F55</f>
        <v/>
      </c>
      <c r="Q127" s="37">
        <f>F47*$S$16</f>
        <v/>
      </c>
      <c r="R127" s="37" t="n"/>
      <c r="S127" s="33">
        <f>SUM(G127:R127)</f>
        <v/>
      </c>
    </row>
    <row r="128" ht="13.2" customHeight="1" s="53">
      <c r="D128" s="32" t="n">
        <v>87</v>
      </c>
      <c r="E128" s="27">
        <f>D128*($B$40/8)</f>
        <v/>
      </c>
      <c r="F128" s="28">
        <f>IF($B$42&gt;E128,$C$48*E128,$C$50*E128+$C$51)</f>
        <v/>
      </c>
      <c r="G128" s="29">
        <f>$S$6*F128</f>
        <v/>
      </c>
      <c r="H128" s="34">
        <f>F120*$S$7</f>
        <v/>
      </c>
      <c r="I128" s="34">
        <f>$S$8*F112</f>
        <v/>
      </c>
      <c r="J128" s="37">
        <f>F104*$S$9</f>
        <v/>
      </c>
      <c r="K128" s="34">
        <f>$S$10*F96</f>
        <v/>
      </c>
      <c r="L128" s="37">
        <f>F88*$S$11</f>
        <v/>
      </c>
      <c r="M128" s="34">
        <f>$S$12*F80</f>
        <v/>
      </c>
      <c r="N128" s="37">
        <f>F72*$S$13</f>
        <v/>
      </c>
      <c r="O128" s="37">
        <f>F64*$S$14</f>
        <v/>
      </c>
      <c r="P128" s="34">
        <f>$S$15*F56</f>
        <v/>
      </c>
      <c r="Q128" s="37">
        <f>F48*$S$16</f>
        <v/>
      </c>
      <c r="R128" s="37" t="n"/>
      <c r="S128" s="33">
        <f>SUM(G128:R128)</f>
        <v/>
      </c>
    </row>
    <row r="129" ht="13.2" customHeight="1" s="53">
      <c r="D129" s="32" t="n">
        <v>88</v>
      </c>
      <c r="E129" s="27">
        <f>D129*($B$40/8)</f>
        <v/>
      </c>
      <c r="F129" s="28">
        <f>IF($B$42&gt;E129,$C$48*E129,$C$50*E129+$C$51)</f>
        <v/>
      </c>
      <c r="G129" s="29">
        <f>$S$6*F129</f>
        <v/>
      </c>
      <c r="H129" s="34">
        <f>F121*$S$7</f>
        <v/>
      </c>
      <c r="I129" s="34">
        <f>$S$8*F113</f>
        <v/>
      </c>
      <c r="J129" s="37">
        <f>F105*$S$9</f>
        <v/>
      </c>
      <c r="K129" s="34">
        <f>$S$10*F97</f>
        <v/>
      </c>
      <c r="L129" s="37">
        <f>F89*$S$11</f>
        <v/>
      </c>
      <c r="M129" s="34">
        <f>$S$12*F81</f>
        <v/>
      </c>
      <c r="N129" s="37">
        <f>F73*$S$13</f>
        <v/>
      </c>
      <c r="O129" s="37">
        <f>F65*$S$14</f>
        <v/>
      </c>
      <c r="P129" s="34">
        <f>$S$15*F57</f>
        <v/>
      </c>
      <c r="Q129" s="37">
        <f>F49*$S$16</f>
        <v/>
      </c>
      <c r="R129" s="37">
        <f>F41*$S$17</f>
        <v/>
      </c>
      <c r="S129" s="33">
        <f>SUM(G129:R129)</f>
        <v/>
      </c>
    </row>
    <row r="130" ht="13.2" customHeight="1" s="53">
      <c r="D130" s="32" t="n">
        <v>89</v>
      </c>
      <c r="E130" s="27">
        <f>D130*($B$40/8)</f>
        <v/>
      </c>
      <c r="F130" s="28">
        <f>IF($B$42&gt;E130,$C$48*E130,$C$50*E130+$C$51)</f>
        <v/>
      </c>
      <c r="G130" s="29">
        <f>$S$6*F130</f>
        <v/>
      </c>
      <c r="H130" s="34">
        <f>F122*$S$7</f>
        <v/>
      </c>
      <c r="I130" s="34">
        <f>$S$8*F114</f>
        <v/>
      </c>
      <c r="J130" s="37">
        <f>F106*$S$9</f>
        <v/>
      </c>
      <c r="K130" s="34">
        <f>$S$10*F98</f>
        <v/>
      </c>
      <c r="L130" s="37">
        <f>F90*$S$11</f>
        <v/>
      </c>
      <c r="M130" s="34">
        <f>$S$12*F82</f>
        <v/>
      </c>
      <c r="N130" s="37">
        <f>F74*$S$13</f>
        <v/>
      </c>
      <c r="O130" s="37">
        <f>F66*$S$14</f>
        <v/>
      </c>
      <c r="P130" s="34">
        <f>$S$15*F58</f>
        <v/>
      </c>
      <c r="Q130" s="37">
        <f>F50*$S$16</f>
        <v/>
      </c>
      <c r="R130" s="37">
        <f>F42*$S$17</f>
        <v/>
      </c>
      <c r="S130" s="33">
        <f>SUM(G130:R130)</f>
        <v/>
      </c>
    </row>
    <row r="131" ht="13.2" customHeight="1" s="53">
      <c r="D131" s="32" t="n">
        <v>90</v>
      </c>
      <c r="E131" s="27">
        <f>D131*($B$40/8)</f>
        <v/>
      </c>
      <c r="F131" s="28">
        <f>IF($B$42&gt;E131,$C$48*E131,$C$50*E131+$C$51)</f>
        <v/>
      </c>
      <c r="G131" s="29">
        <f>$S$6*F131</f>
        <v/>
      </c>
      <c r="H131" s="34">
        <f>F123*$S$7</f>
        <v/>
      </c>
      <c r="I131" s="34">
        <f>$S$8*F115</f>
        <v/>
      </c>
      <c r="J131" s="37">
        <f>F107*$S$9</f>
        <v/>
      </c>
      <c r="K131" s="34">
        <f>$S$10*F99</f>
        <v/>
      </c>
      <c r="L131" s="37">
        <f>F91*$S$11</f>
        <v/>
      </c>
      <c r="M131" s="34">
        <f>$S$12*F83</f>
        <v/>
      </c>
      <c r="N131" s="37">
        <f>F75*$S$13</f>
        <v/>
      </c>
      <c r="O131" s="37">
        <f>F67*$S$14</f>
        <v/>
      </c>
      <c r="P131" s="34">
        <f>$S$15*F59</f>
        <v/>
      </c>
      <c r="Q131" s="37">
        <f>F51*$S$16</f>
        <v/>
      </c>
      <c r="R131" s="37">
        <f>F43*$S$17</f>
        <v/>
      </c>
      <c r="S131" s="33">
        <f>SUM(G131:R131)</f>
        <v/>
      </c>
    </row>
    <row r="132" ht="13.2" customHeight="1" s="53">
      <c r="D132" s="32" t="n">
        <v>91</v>
      </c>
      <c r="E132" s="27">
        <f>D132*($B$40/8)</f>
        <v/>
      </c>
      <c r="F132" s="28">
        <f>IF($B$42&gt;E132,$C$48*E132,$C$50*E132+$C$51)</f>
        <v/>
      </c>
      <c r="G132" s="29">
        <f>$S$6*F132</f>
        <v/>
      </c>
      <c r="H132" s="34">
        <f>F124*$S$7</f>
        <v/>
      </c>
      <c r="I132" s="34">
        <f>$S$8*F116</f>
        <v/>
      </c>
      <c r="J132" s="37">
        <f>F108*$S$9</f>
        <v/>
      </c>
      <c r="K132" s="34">
        <f>$S$10*F100</f>
        <v/>
      </c>
      <c r="L132" s="37">
        <f>F92*$S$11</f>
        <v/>
      </c>
      <c r="M132" s="34">
        <f>$S$12*F84</f>
        <v/>
      </c>
      <c r="N132" s="37">
        <f>F76*$S$13</f>
        <v/>
      </c>
      <c r="O132" s="37">
        <f>F68*$S$14</f>
        <v/>
      </c>
      <c r="P132" s="34">
        <f>$S$15*F60</f>
        <v/>
      </c>
      <c r="Q132" s="37">
        <f>F52*$S$16</f>
        <v/>
      </c>
      <c r="R132" s="37">
        <f>F44*$S$17</f>
        <v/>
      </c>
      <c r="S132" s="33">
        <f>SUM(G132:R132)</f>
        <v/>
      </c>
    </row>
    <row r="133" ht="13.2" customHeight="1" s="53">
      <c r="D133" s="38" t="n">
        <v>92</v>
      </c>
      <c r="E133" s="27">
        <f>D133*($B$40/8)</f>
        <v/>
      </c>
      <c r="F133" s="28">
        <f>IF($B$42&gt;E133,$C$48*E133,$C$50*E133+$C$51)</f>
        <v/>
      </c>
      <c r="G133" s="29">
        <f>$S$6*F133</f>
        <v/>
      </c>
      <c r="H133" s="34">
        <f>F125*$S$7</f>
        <v/>
      </c>
      <c r="I133" s="34">
        <f>$S$8*F117</f>
        <v/>
      </c>
      <c r="J133" s="37">
        <f>F109*$S$9</f>
        <v/>
      </c>
      <c r="K133" s="34">
        <f>$S$10*F101</f>
        <v/>
      </c>
      <c r="L133" s="37">
        <f>F93*$S$11</f>
        <v/>
      </c>
      <c r="M133" s="34">
        <f>$S$12*F85</f>
        <v/>
      </c>
      <c r="N133" s="37">
        <f>F77*$S$13</f>
        <v/>
      </c>
      <c r="O133" s="37">
        <f>F69*$S$14</f>
        <v/>
      </c>
      <c r="P133" s="34">
        <f>$S$15*F61</f>
        <v/>
      </c>
      <c r="Q133" s="37">
        <f>F53*$S$16</f>
        <v/>
      </c>
      <c r="R133" s="37">
        <f>F45*$S$17</f>
        <v/>
      </c>
      <c r="S133" s="33">
        <f>SUM(G133:R133)</f>
        <v/>
      </c>
    </row>
    <row r="134" ht="13.2" customHeight="1" s="53">
      <c r="D134" s="32" t="n">
        <v>93</v>
      </c>
      <c r="E134" s="27">
        <f>D134*($B$40/8)</f>
        <v/>
      </c>
      <c r="F134" s="28">
        <f>IF($B$42&gt;E134,$C$48*E134,$C$50*E134+$C$51)</f>
        <v/>
      </c>
      <c r="G134" s="29">
        <f>$S$6*F134</f>
        <v/>
      </c>
      <c r="H134" s="34">
        <f>F126*$S$7</f>
        <v/>
      </c>
      <c r="I134" s="34">
        <f>$S$8*F118</f>
        <v/>
      </c>
      <c r="J134" s="37">
        <f>F110*$S$9</f>
        <v/>
      </c>
      <c r="K134" s="34">
        <f>$S$10*F102</f>
        <v/>
      </c>
      <c r="L134" s="37">
        <f>F94*$S$11</f>
        <v/>
      </c>
      <c r="M134" s="34">
        <f>$S$12*F86</f>
        <v/>
      </c>
      <c r="N134" s="37">
        <f>F78*$S$13</f>
        <v/>
      </c>
      <c r="O134" s="37">
        <f>F70*$S$14</f>
        <v/>
      </c>
      <c r="P134" s="34">
        <f>$S$15*F62</f>
        <v/>
      </c>
      <c r="Q134" s="37">
        <f>F54*$S$16</f>
        <v/>
      </c>
      <c r="R134" s="37">
        <f>F46*$S$17</f>
        <v/>
      </c>
      <c r="S134" s="33">
        <f>SUM(G134:R134)</f>
        <v/>
      </c>
    </row>
    <row r="135" ht="13.2" customHeight="1" s="53">
      <c r="D135" s="38" t="n">
        <v>94</v>
      </c>
      <c r="E135" s="27">
        <f>D135*($B$40/8)</f>
        <v/>
      </c>
      <c r="F135" s="28">
        <f>IF($B$42&gt;E135,$C$48*E135,$C$50*E135+$C$51)</f>
        <v/>
      </c>
      <c r="G135" s="29">
        <f>$S$6*F135</f>
        <v/>
      </c>
      <c r="H135" s="34">
        <f>F127*$S$7</f>
        <v/>
      </c>
      <c r="I135" s="34">
        <f>$S$8*F119</f>
        <v/>
      </c>
      <c r="J135" s="37">
        <f>F111*$S$9</f>
        <v/>
      </c>
      <c r="K135" s="34">
        <f>$S$10*F103</f>
        <v/>
      </c>
      <c r="L135" s="37">
        <f>F95*$S$11</f>
        <v/>
      </c>
      <c r="M135" s="34">
        <f>$S$12*F87</f>
        <v/>
      </c>
      <c r="N135" s="37">
        <f>F79*$S$13</f>
        <v/>
      </c>
      <c r="O135" s="37">
        <f>F71*$S$14</f>
        <v/>
      </c>
      <c r="P135" s="34">
        <f>$S$15*F63</f>
        <v/>
      </c>
      <c r="Q135" s="37">
        <f>F55*$S$16</f>
        <v/>
      </c>
      <c r="R135" s="37">
        <f>F47*$S$17</f>
        <v/>
      </c>
      <c r="S135" s="33">
        <f>SUM(G135:R135)</f>
        <v/>
      </c>
    </row>
    <row r="136" ht="13.2" customHeight="1" s="53">
      <c r="D136" s="32" t="n">
        <v>95</v>
      </c>
      <c r="E136" s="27">
        <f>D136*($B$40/8)</f>
        <v/>
      </c>
      <c r="F136" s="28">
        <f>IF($B$42&gt;E136,$C$48*E136,$C$50*E136+$C$51)</f>
        <v/>
      </c>
      <c r="G136" s="29">
        <f>$S$6*F136</f>
        <v/>
      </c>
      <c r="H136" s="34">
        <f>F128*$S$7</f>
        <v/>
      </c>
      <c r="I136" s="34">
        <f>$S$8*F120</f>
        <v/>
      </c>
      <c r="J136" s="37">
        <f>F112*$S$9</f>
        <v/>
      </c>
      <c r="K136" s="34">
        <f>$S$10*F104</f>
        <v/>
      </c>
      <c r="L136" s="37">
        <f>F96*$S$11</f>
        <v/>
      </c>
      <c r="M136" s="34">
        <f>$S$12*F88</f>
        <v/>
      </c>
      <c r="N136" s="37">
        <f>F80*$S$13</f>
        <v/>
      </c>
      <c r="O136" s="37">
        <f>F72*$S$14</f>
        <v/>
      </c>
      <c r="P136" s="34">
        <f>$S$15*F64</f>
        <v/>
      </c>
      <c r="Q136" s="37">
        <f>F56*$S$16</f>
        <v/>
      </c>
      <c r="R136" s="37">
        <f>F48*$S$17</f>
        <v/>
      </c>
      <c r="S136" s="33">
        <f>SUM(G136:R136)</f>
        <v/>
      </c>
    </row>
    <row r="137" ht="13.2" customHeight="1" s="53">
      <c r="D137" s="38" t="n">
        <v>96</v>
      </c>
      <c r="E137" s="27">
        <f>D137*($B$40/8)</f>
        <v/>
      </c>
      <c r="F137" s="28">
        <f>IF($B$42&gt;E137,$C$48*E137,$C$50*E137+$C$51)</f>
        <v/>
      </c>
      <c r="G137" s="29">
        <f>$S$6*F137</f>
        <v/>
      </c>
      <c r="H137" s="34">
        <f>F129*$S$7</f>
        <v/>
      </c>
      <c r="I137" s="34">
        <f>$S$8*F121</f>
        <v/>
      </c>
      <c r="J137" s="37">
        <f>F113*$S$9</f>
        <v/>
      </c>
      <c r="K137" s="34">
        <f>$S$10*F105</f>
        <v/>
      </c>
      <c r="L137" s="37">
        <f>F97*$S$11</f>
        <v/>
      </c>
      <c r="M137" s="34">
        <f>$S$12*F89</f>
        <v/>
      </c>
      <c r="N137" s="37">
        <f>F81*$S$13</f>
        <v/>
      </c>
      <c r="O137" s="37">
        <f>F73*$S$14</f>
        <v/>
      </c>
      <c r="P137" s="34">
        <f>$S$15*F65</f>
        <v/>
      </c>
      <c r="Q137" s="37">
        <f>F57*$S$16</f>
        <v/>
      </c>
      <c r="R137" s="37">
        <f>F49*$S$17</f>
        <v/>
      </c>
      <c r="S137" s="33">
        <f>SUM(G137:R137)</f>
        <v/>
      </c>
    </row>
    <row r="138" ht="13.2" customHeight="1" s="53">
      <c r="D138" s="32" t="n">
        <v>97</v>
      </c>
      <c r="E138" s="27">
        <f>D138*($B$40/8)</f>
        <v/>
      </c>
      <c r="F138" s="28">
        <f>IF($B$42&gt;E138,$C$48*E138,$C$50*E138+$C$51)</f>
        <v/>
      </c>
      <c r="G138" s="29">
        <f>$S$6*F138</f>
        <v/>
      </c>
      <c r="H138" s="34">
        <f>F130*$S$7</f>
        <v/>
      </c>
      <c r="I138" s="34">
        <f>$S$8*F122</f>
        <v/>
      </c>
      <c r="J138" s="37">
        <f>F114*$S$9</f>
        <v/>
      </c>
      <c r="K138" s="34">
        <f>$S$10*F106</f>
        <v/>
      </c>
      <c r="L138" s="37">
        <f>F98*$S$11</f>
        <v/>
      </c>
      <c r="M138" s="34">
        <f>$S$12*F90</f>
        <v/>
      </c>
      <c r="N138" s="37">
        <f>F82*$S$13</f>
        <v/>
      </c>
      <c r="O138" s="37">
        <f>F74*$S$14</f>
        <v/>
      </c>
      <c r="P138" s="34">
        <f>$S$15*F66</f>
        <v/>
      </c>
      <c r="Q138" s="37">
        <f>F58*$S$16</f>
        <v/>
      </c>
      <c r="R138" s="37">
        <f>F50*$S$17</f>
        <v/>
      </c>
      <c r="S138" s="33">
        <f>SUM(G138:R138)</f>
        <v/>
      </c>
    </row>
    <row r="139" ht="13.2" customHeight="1" s="53">
      <c r="D139" s="38" t="n">
        <v>98</v>
      </c>
      <c r="E139" s="27">
        <f>D139*($B$40/8)</f>
        <v/>
      </c>
      <c r="F139" s="28">
        <f>IF($B$42&gt;E139,$C$48*E139,$C$50*E139+$C$51)</f>
        <v/>
      </c>
      <c r="G139" s="29">
        <f>$S$6*F139</f>
        <v/>
      </c>
      <c r="H139" s="34">
        <f>F131*$S$7</f>
        <v/>
      </c>
      <c r="I139" s="34">
        <f>$S$8*F123</f>
        <v/>
      </c>
      <c r="J139" s="37">
        <f>F115*$S$9</f>
        <v/>
      </c>
      <c r="K139" s="34">
        <f>$S$10*F107</f>
        <v/>
      </c>
      <c r="L139" s="37">
        <f>F99*$S$11</f>
        <v/>
      </c>
      <c r="M139" s="34">
        <f>$S$12*F91</f>
        <v/>
      </c>
      <c r="N139" s="37">
        <f>F83*$S$13</f>
        <v/>
      </c>
      <c r="O139" s="37">
        <f>F75*$S$14</f>
        <v/>
      </c>
      <c r="P139" s="34">
        <f>$S$15*F67</f>
        <v/>
      </c>
      <c r="Q139" s="37">
        <f>F59*$S$16</f>
        <v/>
      </c>
      <c r="R139" s="37">
        <f>F51*$S$17</f>
        <v/>
      </c>
      <c r="S139" s="33">
        <f>SUM(G139:R139)</f>
        <v/>
      </c>
    </row>
    <row r="140" ht="13.2" customHeight="1" s="53">
      <c r="D140" s="32" t="n">
        <v>99</v>
      </c>
      <c r="E140" s="27">
        <f>D140*($B$40/8)</f>
        <v/>
      </c>
      <c r="F140" s="28">
        <f>IF($B$42&gt;E140,$C$48*E140,$C$50*E140+$C$51)</f>
        <v/>
      </c>
      <c r="G140" s="29">
        <f>$S$6*F140</f>
        <v/>
      </c>
      <c r="H140" s="34">
        <f>F132*$S$7</f>
        <v/>
      </c>
      <c r="I140" s="34">
        <f>$S$8*F124</f>
        <v/>
      </c>
      <c r="J140" s="37">
        <f>F116*$S$9</f>
        <v/>
      </c>
      <c r="K140" s="34">
        <f>$S$10*F108</f>
        <v/>
      </c>
      <c r="L140" s="37">
        <f>F100*$S$11</f>
        <v/>
      </c>
      <c r="M140" s="34">
        <f>$S$12*F92</f>
        <v/>
      </c>
      <c r="N140" s="37">
        <f>F84*$S$13</f>
        <v/>
      </c>
      <c r="O140" s="37">
        <f>F76*$S$14</f>
        <v/>
      </c>
      <c r="P140" s="34">
        <f>$S$15*F68</f>
        <v/>
      </c>
      <c r="Q140" s="37">
        <f>F60*$S$16</f>
        <v/>
      </c>
      <c r="R140" s="37">
        <f>F52*$S$17</f>
        <v/>
      </c>
      <c r="S140" s="33">
        <f>SUM(G140:R140)</f>
        <v/>
      </c>
    </row>
    <row r="141" ht="13.2" customHeight="1" s="53">
      <c r="D141" s="15" t="n">
        <v>100</v>
      </c>
      <c r="E141" s="39">
        <f>D141*($B$40/8)</f>
        <v/>
      </c>
      <c r="F141" s="36">
        <f>IF($B$42&gt;E141,$C$48*E141,$C$50*E141+$C$51)</f>
        <v/>
      </c>
      <c r="G141" s="29">
        <f>$S$6*F141</f>
        <v/>
      </c>
      <c r="H141" s="34">
        <f>F133*$S$7</f>
        <v/>
      </c>
      <c r="I141" s="34">
        <f>$S$8*F125</f>
        <v/>
      </c>
      <c r="J141" s="37">
        <f>F117*$S$9</f>
        <v/>
      </c>
      <c r="K141" s="34">
        <f>$S$10*F109</f>
        <v/>
      </c>
      <c r="L141" s="37">
        <f>F101*$S$11</f>
        <v/>
      </c>
      <c r="M141" s="34">
        <f>$S$12*F93</f>
        <v/>
      </c>
      <c r="N141" s="37">
        <f>F85*$S$13</f>
        <v/>
      </c>
      <c r="O141" s="37">
        <f>F77*$S$14</f>
        <v/>
      </c>
      <c r="P141" s="34">
        <f>$S$15*F69</f>
        <v/>
      </c>
      <c r="Q141" s="37">
        <f>F61*$S$16</f>
        <v/>
      </c>
      <c r="R141" s="37">
        <f>F53*$S$17</f>
        <v/>
      </c>
      <c r="S141" s="33">
        <f>SUM(G141:R141)</f>
        <v/>
      </c>
    </row>
    <row r="142" ht="13.2" customHeight="1" s="53">
      <c r="D142" s="38" t="n">
        <v>101</v>
      </c>
      <c r="E142" s="39">
        <f>D142*($B$40/8)</f>
        <v/>
      </c>
      <c r="G142" s="30" t="n"/>
      <c r="H142" s="34">
        <f>F134*$S$7</f>
        <v/>
      </c>
      <c r="I142" s="34">
        <f>$S$8*F126</f>
        <v/>
      </c>
      <c r="J142" s="37">
        <f>F118*$S$9</f>
        <v/>
      </c>
      <c r="K142" s="34">
        <f>$S$10*F110</f>
        <v/>
      </c>
      <c r="L142" s="37">
        <f>F102*$S$11</f>
        <v/>
      </c>
      <c r="M142" s="34">
        <f>$S$12*F94</f>
        <v/>
      </c>
      <c r="N142" s="37">
        <f>F86*$S$13</f>
        <v/>
      </c>
      <c r="O142" s="37">
        <f>F78*$S$14</f>
        <v/>
      </c>
      <c r="P142" s="34">
        <f>$S$15*F70</f>
        <v/>
      </c>
      <c r="Q142" s="37">
        <f>F62*$S$16</f>
        <v/>
      </c>
      <c r="R142" s="37">
        <f>F54*$S$17</f>
        <v/>
      </c>
      <c r="S142" s="33">
        <f>SUM(G142:R142)</f>
        <v/>
      </c>
    </row>
    <row r="143" ht="13.2" customHeight="1" s="53">
      <c r="D143" s="32" t="n">
        <v>102</v>
      </c>
      <c r="E143" s="39">
        <f>D143*($B$40/8)</f>
        <v/>
      </c>
      <c r="G143" s="30" t="n"/>
      <c r="H143" s="34">
        <f>F135*$S$7</f>
        <v/>
      </c>
      <c r="I143" s="34">
        <f>$S$8*F127</f>
        <v/>
      </c>
      <c r="J143" s="37">
        <f>F119*$S$9</f>
        <v/>
      </c>
      <c r="K143" s="34">
        <f>$S$10*F111</f>
        <v/>
      </c>
      <c r="L143" s="37">
        <f>F103*$S$11</f>
        <v/>
      </c>
      <c r="M143" s="34">
        <f>$S$12*F95</f>
        <v/>
      </c>
      <c r="N143" s="37">
        <f>F87*$S$13</f>
        <v/>
      </c>
      <c r="O143" s="37">
        <f>F79*$S$14</f>
        <v/>
      </c>
      <c r="P143" s="34">
        <f>$S$15*F71</f>
        <v/>
      </c>
      <c r="Q143" s="37">
        <f>F63*$S$16</f>
        <v/>
      </c>
      <c r="R143" s="37">
        <f>F55*$S$17</f>
        <v/>
      </c>
      <c r="S143" s="33">
        <f>SUM(G143:R143)</f>
        <v/>
      </c>
    </row>
    <row r="144" ht="13.2" customHeight="1" s="53">
      <c r="D144" s="15" t="n">
        <v>103</v>
      </c>
      <c r="E144" s="39">
        <f>D144*($B$40/8)</f>
        <v/>
      </c>
      <c r="G144" s="30" t="n"/>
      <c r="H144" s="34">
        <f>F136*$S$7</f>
        <v/>
      </c>
      <c r="I144" s="34">
        <f>$S$8*F128</f>
        <v/>
      </c>
      <c r="J144" s="37">
        <f>F120*$S$9</f>
        <v/>
      </c>
      <c r="K144" s="34">
        <f>$S$10*F112</f>
        <v/>
      </c>
      <c r="L144" s="37">
        <f>F104*$S$11</f>
        <v/>
      </c>
      <c r="M144" s="34">
        <f>$S$12*F96</f>
        <v/>
      </c>
      <c r="N144" s="37">
        <f>F88*$S$13</f>
        <v/>
      </c>
      <c r="O144" s="37">
        <f>F80*$S$14</f>
        <v/>
      </c>
      <c r="P144" s="34">
        <f>$S$15*F72</f>
        <v/>
      </c>
      <c r="Q144" s="37">
        <f>F64*$S$16</f>
        <v/>
      </c>
      <c r="R144" s="37">
        <f>F56*$S$17</f>
        <v/>
      </c>
      <c r="S144" s="33">
        <f>SUM(G144:R144)</f>
        <v/>
      </c>
    </row>
    <row r="145" ht="13.2" customHeight="1" s="53">
      <c r="D145" s="38" t="n">
        <v>104</v>
      </c>
      <c r="E145" s="39">
        <f>D145*($B$40/8)</f>
        <v/>
      </c>
      <c r="G145" s="30" t="n"/>
      <c r="H145" s="34">
        <f>F137*$S$7</f>
        <v/>
      </c>
      <c r="I145" s="34">
        <f>$S$8*F129</f>
        <v/>
      </c>
      <c r="J145" s="37">
        <f>F121*$S$9</f>
        <v/>
      </c>
      <c r="K145" s="34">
        <f>$S$10*F113</f>
        <v/>
      </c>
      <c r="L145" s="37">
        <f>F105*$S$11</f>
        <v/>
      </c>
      <c r="M145" s="34">
        <f>$S$12*F97</f>
        <v/>
      </c>
      <c r="N145" s="37">
        <f>F89*$S$13</f>
        <v/>
      </c>
      <c r="O145" s="37">
        <f>F81*$S$14</f>
        <v/>
      </c>
      <c r="P145" s="34">
        <f>$S$15*F73</f>
        <v/>
      </c>
      <c r="Q145" s="37">
        <f>F65*$S$16</f>
        <v/>
      </c>
      <c r="R145" s="37">
        <f>F57*$S$17</f>
        <v/>
      </c>
      <c r="S145" s="33">
        <f>SUM(G145:R145)</f>
        <v/>
      </c>
    </row>
    <row r="146" ht="13.2" customHeight="1" s="53">
      <c r="D146" s="32" t="n">
        <v>105</v>
      </c>
      <c r="E146" s="39">
        <f>D146*($B$40/8)</f>
        <v/>
      </c>
      <c r="G146" s="30" t="n"/>
      <c r="H146" s="34">
        <f>F138*$S$7</f>
        <v/>
      </c>
      <c r="I146" s="34">
        <f>$S$8*F130</f>
        <v/>
      </c>
      <c r="J146" s="37">
        <f>F122*$S$9</f>
        <v/>
      </c>
      <c r="K146" s="34">
        <f>$S$10*F114</f>
        <v/>
      </c>
      <c r="L146" s="37">
        <f>F106*$S$11</f>
        <v/>
      </c>
      <c r="M146" s="34">
        <f>$S$12*F98</f>
        <v/>
      </c>
      <c r="N146" s="37">
        <f>F90*$S$13</f>
        <v/>
      </c>
      <c r="O146" s="37">
        <f>F82*$S$14</f>
        <v/>
      </c>
      <c r="P146" s="34">
        <f>$S$15*F74</f>
        <v/>
      </c>
      <c r="Q146" s="37">
        <f>F66*$S$16</f>
        <v/>
      </c>
      <c r="R146" s="37">
        <f>F58*$S$17</f>
        <v/>
      </c>
      <c r="S146" s="33">
        <f>SUM(G146:R146)</f>
        <v/>
      </c>
    </row>
    <row r="147" ht="13.2" customHeight="1" s="53">
      <c r="D147" s="15" t="n">
        <v>106</v>
      </c>
      <c r="E147" s="39">
        <f>D147*($B$40/8)</f>
        <v/>
      </c>
      <c r="G147" s="30" t="n"/>
      <c r="H147" s="34">
        <f>F139*$S$7</f>
        <v/>
      </c>
      <c r="I147" s="34">
        <f>$S$8*F131</f>
        <v/>
      </c>
      <c r="J147" s="37">
        <f>F123*$S$9</f>
        <v/>
      </c>
      <c r="K147" s="34">
        <f>$S$10*F115</f>
        <v/>
      </c>
      <c r="L147" s="37">
        <f>F107*$S$11</f>
        <v/>
      </c>
      <c r="M147" s="34">
        <f>$S$12*F99</f>
        <v/>
      </c>
      <c r="N147" s="37">
        <f>F91*$S$13</f>
        <v/>
      </c>
      <c r="O147" s="37">
        <f>F83*$S$14</f>
        <v/>
      </c>
      <c r="P147" s="34">
        <f>$S$15*F75</f>
        <v/>
      </c>
      <c r="Q147" s="37">
        <f>F67*$S$16</f>
        <v/>
      </c>
      <c r="R147" s="37">
        <f>F59*$S$17</f>
        <v/>
      </c>
      <c r="S147" s="33">
        <f>SUM(G147:R147)</f>
        <v/>
      </c>
    </row>
    <row r="148" ht="13.2" customHeight="1" s="53">
      <c r="D148" s="38" t="n">
        <v>107</v>
      </c>
      <c r="E148" s="39">
        <f>D148*($B$40/8)</f>
        <v/>
      </c>
      <c r="G148" s="30" t="n"/>
      <c r="H148" s="34">
        <f>F140*$S$7</f>
        <v/>
      </c>
      <c r="I148" s="34">
        <f>$S$8*F132</f>
        <v/>
      </c>
      <c r="J148" s="37">
        <f>F124*$S$9</f>
        <v/>
      </c>
      <c r="K148" s="34">
        <f>$S$10*F116</f>
        <v/>
      </c>
      <c r="L148" s="37">
        <f>F108*$S$11</f>
        <v/>
      </c>
      <c r="M148" s="34">
        <f>$S$12*F100</f>
        <v/>
      </c>
      <c r="N148" s="37">
        <f>F92*$S$13</f>
        <v/>
      </c>
      <c r="O148" s="37">
        <f>F84*$S$14</f>
        <v/>
      </c>
      <c r="P148" s="34">
        <f>$S$15*F76</f>
        <v/>
      </c>
      <c r="Q148" s="37">
        <f>F68*$S$16</f>
        <v/>
      </c>
      <c r="R148" s="37">
        <f>F60*$S$17</f>
        <v/>
      </c>
      <c r="S148" s="33">
        <f>SUM(G148:R148)</f>
        <v/>
      </c>
    </row>
    <row r="149" ht="13.2" customHeight="1" s="53">
      <c r="D149" s="32" t="n">
        <v>108</v>
      </c>
      <c r="E149" s="39">
        <f>D149*($B$40/8)</f>
        <v/>
      </c>
      <c r="G149" s="30" t="n"/>
      <c r="H149" s="34">
        <f>F141*$S$7</f>
        <v/>
      </c>
      <c r="I149" s="34">
        <f>$S$8*F133</f>
        <v/>
      </c>
      <c r="J149" s="37">
        <f>F125*$S$9</f>
        <v/>
      </c>
      <c r="K149" s="34">
        <f>$S$10*F117</f>
        <v/>
      </c>
      <c r="L149" s="37">
        <f>F109*$S$11</f>
        <v/>
      </c>
      <c r="M149" s="34">
        <f>$S$12*F101</f>
        <v/>
      </c>
      <c r="N149" s="37">
        <f>F93*$S$13</f>
        <v/>
      </c>
      <c r="O149" s="37">
        <f>F85*$S$14</f>
        <v/>
      </c>
      <c r="P149" s="34">
        <f>$S$15*F77</f>
        <v/>
      </c>
      <c r="Q149" s="37">
        <f>F69*$S$16</f>
        <v/>
      </c>
      <c r="R149" s="37">
        <f>F61*$S$17</f>
        <v/>
      </c>
      <c r="S149" s="33">
        <f>SUM(G149:R149)</f>
        <v/>
      </c>
    </row>
    <row r="150" ht="13.2" customHeight="1" s="53">
      <c r="D150" s="15" t="n">
        <v>109</v>
      </c>
      <c r="E150" s="39">
        <f>D150*($B$40/8)</f>
        <v/>
      </c>
      <c r="G150" s="30" t="n"/>
      <c r="H150" s="34" t="n"/>
      <c r="I150" s="34">
        <f>$S$8*F134</f>
        <v/>
      </c>
      <c r="J150" s="37">
        <f>F126*$S$9</f>
        <v/>
      </c>
      <c r="K150" s="34">
        <f>$S$10*F118</f>
        <v/>
      </c>
      <c r="L150" s="37">
        <f>F110*$S$11</f>
        <v/>
      </c>
      <c r="M150" s="34">
        <f>$S$12*F102</f>
        <v/>
      </c>
      <c r="N150" s="37">
        <f>F94*$S$13</f>
        <v/>
      </c>
      <c r="O150" s="37">
        <f>F86*$S$14</f>
        <v/>
      </c>
      <c r="P150" s="34">
        <f>$S$15*F78</f>
        <v/>
      </c>
      <c r="Q150" s="37">
        <f>F70*$S$16</f>
        <v/>
      </c>
      <c r="R150" s="37">
        <f>F62*$S$17</f>
        <v/>
      </c>
      <c r="S150" s="33">
        <f>SUM(G150:R150)</f>
        <v/>
      </c>
    </row>
    <row r="151" ht="13.2" customHeight="1" s="53">
      <c r="D151" s="38" t="n">
        <v>110</v>
      </c>
      <c r="E151" s="39">
        <f>D151*($B$40/8)</f>
        <v/>
      </c>
      <c r="G151" s="30" t="n"/>
      <c r="H151" s="34" t="n"/>
      <c r="I151" s="34">
        <f>$S$8*F135</f>
        <v/>
      </c>
      <c r="J151" s="37">
        <f>F127*$S$9</f>
        <v/>
      </c>
      <c r="K151" s="34">
        <f>$S$10*F119</f>
        <v/>
      </c>
      <c r="L151" s="37">
        <f>F111*$S$11</f>
        <v/>
      </c>
      <c r="M151" s="34">
        <f>$S$12*F103</f>
        <v/>
      </c>
      <c r="N151" s="37">
        <f>F95*$S$13</f>
        <v/>
      </c>
      <c r="O151" s="37">
        <f>F87*$S$14</f>
        <v/>
      </c>
      <c r="P151" s="34">
        <f>$S$15*F79</f>
        <v/>
      </c>
      <c r="Q151" s="37">
        <f>F71*$S$16</f>
        <v/>
      </c>
      <c r="R151" s="37">
        <f>F63*$S$17</f>
        <v/>
      </c>
      <c r="S151" s="33">
        <f>SUM(G151:R151)</f>
        <v/>
      </c>
    </row>
    <row r="152" ht="13.2" customHeight="1" s="53">
      <c r="D152" s="32" t="n">
        <v>111</v>
      </c>
      <c r="E152" s="39">
        <f>D152*($B$40/8)</f>
        <v/>
      </c>
      <c r="G152" s="30" t="n"/>
      <c r="H152" s="30" t="n"/>
      <c r="I152" s="34">
        <f>$S$8*F136</f>
        <v/>
      </c>
      <c r="J152" s="37">
        <f>F128*$S$9</f>
        <v/>
      </c>
      <c r="K152" s="34">
        <f>$S$10*F120</f>
        <v/>
      </c>
      <c r="L152" s="37">
        <f>F112*$S$11</f>
        <v/>
      </c>
      <c r="M152" s="34">
        <f>$S$12*F104</f>
        <v/>
      </c>
      <c r="N152" s="37">
        <f>F96*$S$13</f>
        <v/>
      </c>
      <c r="O152" s="37">
        <f>F88*$S$14</f>
        <v/>
      </c>
      <c r="P152" s="34">
        <f>$S$15*F80</f>
        <v/>
      </c>
      <c r="Q152" s="37">
        <f>F72*$S$16</f>
        <v/>
      </c>
      <c r="R152" s="37">
        <f>F64*$S$17</f>
        <v/>
      </c>
      <c r="S152" s="33">
        <f>SUM(G152:R152)</f>
        <v/>
      </c>
    </row>
    <row r="153" ht="13.2" customHeight="1" s="53">
      <c r="D153" s="15" t="n">
        <v>112</v>
      </c>
      <c r="E153" s="39">
        <f>D153*($B$40/8)</f>
        <v/>
      </c>
      <c r="G153" s="30" t="n"/>
      <c r="H153" s="30" t="n"/>
      <c r="I153" s="34">
        <f>$S$8*F137</f>
        <v/>
      </c>
      <c r="J153" s="37">
        <f>F129*$S$9</f>
        <v/>
      </c>
      <c r="K153" s="34">
        <f>$S$10*F121</f>
        <v/>
      </c>
      <c r="L153" s="37">
        <f>F113*$S$11</f>
        <v/>
      </c>
      <c r="M153" s="34">
        <f>$S$12*F105</f>
        <v/>
      </c>
      <c r="N153" s="37">
        <f>F97*$S$13</f>
        <v/>
      </c>
      <c r="O153" s="37">
        <f>F89*$S$14</f>
        <v/>
      </c>
      <c r="P153" s="34">
        <f>$S$15*F81</f>
        <v/>
      </c>
      <c r="Q153" s="37">
        <f>F73*$S$16</f>
        <v/>
      </c>
      <c r="R153" s="37">
        <f>F65*$S$17</f>
        <v/>
      </c>
      <c r="S153" s="33">
        <f>SUM(G153:R153)</f>
        <v/>
      </c>
    </row>
    <row r="154" ht="13.2" customHeight="1" s="53">
      <c r="D154" s="38" t="n">
        <v>113</v>
      </c>
      <c r="E154" s="39">
        <f>D154*($B$40/8)</f>
        <v/>
      </c>
      <c r="G154" s="30" t="n"/>
      <c r="H154" s="30" t="n"/>
      <c r="I154" s="34">
        <f>$S$8*F138</f>
        <v/>
      </c>
      <c r="J154" s="37">
        <f>F130*$S$9</f>
        <v/>
      </c>
      <c r="K154" s="34">
        <f>$S$10*F122</f>
        <v/>
      </c>
      <c r="L154" s="37">
        <f>F114*$S$11</f>
        <v/>
      </c>
      <c r="M154" s="34">
        <f>$S$12*F106</f>
        <v/>
      </c>
      <c r="N154" s="37">
        <f>F98*$S$13</f>
        <v/>
      </c>
      <c r="O154" s="37">
        <f>F90*$S$14</f>
        <v/>
      </c>
      <c r="P154" s="34">
        <f>$S$15*F82</f>
        <v/>
      </c>
      <c r="Q154" s="37">
        <f>F74*$S$16</f>
        <v/>
      </c>
      <c r="R154" s="37">
        <f>F66*$S$17</f>
        <v/>
      </c>
      <c r="S154" s="33">
        <f>SUM(G154:R154)</f>
        <v/>
      </c>
    </row>
    <row r="155" ht="13.2" customHeight="1" s="53">
      <c r="D155" s="32" t="n">
        <v>114</v>
      </c>
      <c r="E155" s="39">
        <f>D155*($B$40/8)</f>
        <v/>
      </c>
      <c r="G155" s="30" t="n"/>
      <c r="H155" s="30" t="n"/>
      <c r="I155" s="34">
        <f>$S$8*F139</f>
        <v/>
      </c>
      <c r="J155" s="37">
        <f>F131*$S$9</f>
        <v/>
      </c>
      <c r="K155" s="34">
        <f>$S$10*F123</f>
        <v/>
      </c>
      <c r="L155" s="37">
        <f>F115*$S$11</f>
        <v/>
      </c>
      <c r="M155" s="34">
        <f>$S$12*F107</f>
        <v/>
      </c>
      <c r="N155" s="37">
        <f>F99*$S$13</f>
        <v/>
      </c>
      <c r="O155" s="37">
        <f>F91*$S$14</f>
        <v/>
      </c>
      <c r="P155" s="34">
        <f>$S$15*F83</f>
        <v/>
      </c>
      <c r="Q155" s="37">
        <f>F75*$S$16</f>
        <v/>
      </c>
      <c r="R155" s="37">
        <f>F67*$S$17</f>
        <v/>
      </c>
      <c r="S155" s="33">
        <f>SUM(G155:R155)</f>
        <v/>
      </c>
    </row>
    <row r="156" ht="13.2" customHeight="1" s="53">
      <c r="D156" s="15" t="n">
        <v>115</v>
      </c>
      <c r="E156" s="39">
        <f>D156*($B$40/8)</f>
        <v/>
      </c>
      <c r="G156" s="30" t="n"/>
      <c r="H156" s="30" t="n"/>
      <c r="I156" s="34">
        <f>$S$8*F140</f>
        <v/>
      </c>
      <c r="J156" s="37">
        <f>F132*$S$9</f>
        <v/>
      </c>
      <c r="K156" s="34">
        <f>$S$10*F124</f>
        <v/>
      </c>
      <c r="L156" s="37">
        <f>F116*$S$11</f>
        <v/>
      </c>
      <c r="M156" s="34">
        <f>$S$12*F108</f>
        <v/>
      </c>
      <c r="N156" s="37">
        <f>F100*$S$13</f>
        <v/>
      </c>
      <c r="O156" s="37">
        <f>F92*$S$14</f>
        <v/>
      </c>
      <c r="P156" s="34">
        <f>$S$15*F84</f>
        <v/>
      </c>
      <c r="Q156" s="37">
        <f>F76*$S$16</f>
        <v/>
      </c>
      <c r="R156" s="37">
        <f>F68*$S$17</f>
        <v/>
      </c>
      <c r="S156" s="33">
        <f>SUM(G156:R156)</f>
        <v/>
      </c>
    </row>
    <row r="157" ht="13.2" customHeight="1" s="53">
      <c r="D157" s="38" t="n">
        <v>116</v>
      </c>
      <c r="E157" s="39">
        <f>D157*($B$40/8)</f>
        <v/>
      </c>
      <c r="G157" s="30" t="n"/>
      <c r="H157" s="30" t="n"/>
      <c r="I157" s="34">
        <f>$S$8*F141</f>
        <v/>
      </c>
      <c r="J157" s="37">
        <f>F133*$S$9</f>
        <v/>
      </c>
      <c r="K157" s="34">
        <f>$S$10*F125</f>
        <v/>
      </c>
      <c r="L157" s="37">
        <f>F117*$S$11</f>
        <v/>
      </c>
      <c r="M157" s="34">
        <f>$S$12*F109</f>
        <v/>
      </c>
      <c r="N157" s="37">
        <f>F101*$S$13</f>
        <v/>
      </c>
      <c r="O157" s="37">
        <f>F93*$S$14</f>
        <v/>
      </c>
      <c r="P157" s="34">
        <f>$S$15*F85</f>
        <v/>
      </c>
      <c r="Q157" s="37">
        <f>F77*$S$16</f>
        <v/>
      </c>
      <c r="R157" s="37">
        <f>F69*$S$17</f>
        <v/>
      </c>
      <c r="S157" s="33">
        <f>SUM(G157:R157)</f>
        <v/>
      </c>
    </row>
    <row r="158" ht="13.2" customHeight="1" s="53">
      <c r="D158" s="32" t="n">
        <v>117</v>
      </c>
      <c r="E158" s="39">
        <f>D158*($B$40/8)</f>
        <v/>
      </c>
      <c r="G158" s="30" t="n"/>
      <c r="H158" s="30" t="n"/>
      <c r="I158" s="34" t="n"/>
      <c r="J158" s="37">
        <f>F134*$S$9</f>
        <v/>
      </c>
      <c r="K158" s="34">
        <f>$S$10*F126</f>
        <v/>
      </c>
      <c r="L158" s="37">
        <f>F118*$S$11</f>
        <v/>
      </c>
      <c r="M158" s="34">
        <f>$S$12*F110</f>
        <v/>
      </c>
      <c r="N158" s="37">
        <f>F102*$S$13</f>
        <v/>
      </c>
      <c r="O158" s="37">
        <f>F94*$S$14</f>
        <v/>
      </c>
      <c r="P158" s="34">
        <f>$S$15*F86</f>
        <v/>
      </c>
      <c r="Q158" s="37">
        <f>F78*$S$16</f>
        <v/>
      </c>
      <c r="R158" s="37">
        <f>F70*$S$17</f>
        <v/>
      </c>
      <c r="S158" s="33">
        <f>SUM(G158:R158)</f>
        <v/>
      </c>
    </row>
    <row r="159" ht="13.2" customHeight="1" s="53">
      <c r="D159" s="15" t="n">
        <v>118</v>
      </c>
      <c r="E159" s="39">
        <f>D159*($B$40/8)</f>
        <v/>
      </c>
      <c r="G159" s="30" t="n"/>
      <c r="H159" s="30" t="n"/>
      <c r="I159" s="34" t="n"/>
      <c r="J159" s="37">
        <f>F135*$S$9</f>
        <v/>
      </c>
      <c r="K159" s="34">
        <f>$S$10*F127</f>
        <v/>
      </c>
      <c r="L159" s="37">
        <f>F119*$S$11</f>
        <v/>
      </c>
      <c r="M159" s="34">
        <f>$S$12*F111</f>
        <v/>
      </c>
      <c r="N159" s="37">
        <f>F103*$S$13</f>
        <v/>
      </c>
      <c r="O159" s="37">
        <f>F95*$S$14</f>
        <v/>
      </c>
      <c r="P159" s="34">
        <f>$S$15*F87</f>
        <v/>
      </c>
      <c r="Q159" s="37">
        <f>F79*$S$16</f>
        <v/>
      </c>
      <c r="R159" s="37">
        <f>F71*$S$17</f>
        <v/>
      </c>
      <c r="S159" s="33">
        <f>SUM(G159:R159)</f>
        <v/>
      </c>
    </row>
    <row r="160" ht="13.2" customHeight="1" s="53">
      <c r="D160" s="38" t="n">
        <v>119</v>
      </c>
      <c r="E160" s="39">
        <f>D160*($B$40/8)</f>
        <v/>
      </c>
      <c r="G160" s="30" t="n"/>
      <c r="H160" s="30" t="n"/>
      <c r="I160" s="34" t="n"/>
      <c r="J160" s="37">
        <f>F136*$S$9</f>
        <v/>
      </c>
      <c r="K160" s="34">
        <f>$S$10*F128</f>
        <v/>
      </c>
      <c r="L160" s="37">
        <f>F120*$S$11</f>
        <v/>
      </c>
      <c r="M160" s="34">
        <f>$S$12*F112</f>
        <v/>
      </c>
      <c r="N160" s="37">
        <f>F104*$S$13</f>
        <v/>
      </c>
      <c r="O160" s="37">
        <f>F96*$S$14</f>
        <v/>
      </c>
      <c r="P160" s="34">
        <f>$S$15*F88</f>
        <v/>
      </c>
      <c r="Q160" s="37">
        <f>F80*$S$16</f>
        <v/>
      </c>
      <c r="R160" s="37">
        <f>F72*$S$17</f>
        <v/>
      </c>
      <c r="S160" s="33">
        <f>SUM(G160:R160)</f>
        <v/>
      </c>
    </row>
    <row r="161" ht="13.2" customHeight="1" s="53">
      <c r="D161" s="32" t="n">
        <v>120</v>
      </c>
      <c r="E161" s="39">
        <f>D161*($B$40/8)</f>
        <v/>
      </c>
      <c r="G161" s="30" t="n"/>
      <c r="H161" s="30" t="n"/>
      <c r="I161" s="34" t="n"/>
      <c r="J161" s="37">
        <f>F137*$S$9</f>
        <v/>
      </c>
      <c r="K161" s="34">
        <f>$S$10*F129</f>
        <v/>
      </c>
      <c r="L161" s="37">
        <f>F121*$S$11</f>
        <v/>
      </c>
      <c r="M161" s="34">
        <f>$S$12*F113</f>
        <v/>
      </c>
      <c r="N161" s="37">
        <f>F105*$S$13</f>
        <v/>
      </c>
      <c r="O161" s="37">
        <f>F97*$S$14</f>
        <v/>
      </c>
      <c r="P161" s="34">
        <f>$S$15*F89</f>
        <v/>
      </c>
      <c r="Q161" s="37">
        <f>F81*$S$16</f>
        <v/>
      </c>
      <c r="R161" s="37">
        <f>F73*$S$17</f>
        <v/>
      </c>
      <c r="S161" s="33">
        <f>SUM(G161:R161)</f>
        <v/>
      </c>
    </row>
    <row r="162" ht="13.2" customHeight="1" s="53">
      <c r="D162" s="15" t="n">
        <v>121</v>
      </c>
      <c r="E162" s="39">
        <f>D162*($B$40/8)</f>
        <v/>
      </c>
      <c r="G162" s="30" t="n"/>
      <c r="H162" s="30" t="n"/>
      <c r="I162" s="30" t="n"/>
      <c r="J162" s="37">
        <f>F138*$S$9</f>
        <v/>
      </c>
      <c r="K162" s="34">
        <f>$S$10*F130</f>
        <v/>
      </c>
      <c r="L162" s="37">
        <f>F122*$S$11</f>
        <v/>
      </c>
      <c r="M162" s="34">
        <f>$S$12*F114</f>
        <v/>
      </c>
      <c r="N162" s="37">
        <f>F106*$S$13</f>
        <v/>
      </c>
      <c r="O162" s="37">
        <f>F98*$S$14</f>
        <v/>
      </c>
      <c r="P162" s="34">
        <f>$S$15*F90</f>
        <v/>
      </c>
      <c r="Q162" s="37">
        <f>F82*$S$16</f>
        <v/>
      </c>
      <c r="R162" s="37">
        <f>F74*$S$17</f>
        <v/>
      </c>
      <c r="S162" s="33">
        <f>SUM(G162:R162)</f>
        <v/>
      </c>
    </row>
    <row r="163" ht="13.2" customHeight="1" s="53">
      <c r="D163" s="38" t="n">
        <v>122</v>
      </c>
      <c r="E163" s="39">
        <f>D163*($B$40/8)</f>
        <v/>
      </c>
      <c r="G163" s="30" t="n"/>
      <c r="H163" s="30" t="n"/>
      <c r="I163" s="30" t="n"/>
      <c r="J163" s="37">
        <f>F139*$S$9</f>
        <v/>
      </c>
      <c r="K163" s="34">
        <f>$S$10*F131</f>
        <v/>
      </c>
      <c r="L163" s="37">
        <f>F123*$S$11</f>
        <v/>
      </c>
      <c r="M163" s="34">
        <f>$S$12*F115</f>
        <v/>
      </c>
      <c r="N163" s="37">
        <f>F107*$S$13</f>
        <v/>
      </c>
      <c r="O163" s="37">
        <f>F99*$S$14</f>
        <v/>
      </c>
      <c r="P163" s="34">
        <f>$S$15*F91</f>
        <v/>
      </c>
      <c r="Q163" s="37">
        <f>F83*$S$16</f>
        <v/>
      </c>
      <c r="R163" s="37">
        <f>F75*$S$17</f>
        <v/>
      </c>
      <c r="S163" s="33">
        <f>SUM(G163:R163)</f>
        <v/>
      </c>
    </row>
    <row r="164" ht="13.2" customHeight="1" s="53">
      <c r="D164" s="32" t="n">
        <v>123</v>
      </c>
      <c r="E164" s="39">
        <f>D164*($B$40/8)</f>
        <v/>
      </c>
      <c r="G164" s="30" t="n"/>
      <c r="H164" s="30" t="n"/>
      <c r="I164" s="30" t="n"/>
      <c r="J164" s="37">
        <f>F140*$S$9</f>
        <v/>
      </c>
      <c r="K164" s="34">
        <f>$S$10*F132</f>
        <v/>
      </c>
      <c r="L164" s="37">
        <f>F124*$S$11</f>
        <v/>
      </c>
      <c r="M164" s="34">
        <f>$S$12*F116</f>
        <v/>
      </c>
      <c r="N164" s="37">
        <f>F108*$S$13</f>
        <v/>
      </c>
      <c r="O164" s="37">
        <f>F100*$S$14</f>
        <v/>
      </c>
      <c r="P164" s="34">
        <f>$S$15*F92</f>
        <v/>
      </c>
      <c r="Q164" s="37">
        <f>F84*$S$16</f>
        <v/>
      </c>
      <c r="R164" s="37">
        <f>F76*$S$17</f>
        <v/>
      </c>
      <c r="S164" s="33">
        <f>SUM(G164:R164)</f>
        <v/>
      </c>
    </row>
    <row r="165" ht="13.2" customHeight="1" s="53">
      <c r="D165" s="15" t="n">
        <v>124</v>
      </c>
      <c r="E165" s="39">
        <f>D165*($B$40/8)</f>
        <v/>
      </c>
      <c r="G165" s="30" t="n"/>
      <c r="H165" s="30" t="n"/>
      <c r="I165" s="30" t="n"/>
      <c r="J165" s="37">
        <f>F141*$S$9</f>
        <v/>
      </c>
      <c r="K165" s="34">
        <f>$S$10*F133</f>
        <v/>
      </c>
      <c r="L165" s="37">
        <f>F125*$S$11</f>
        <v/>
      </c>
      <c r="M165" s="34">
        <f>$S$12*F117</f>
        <v/>
      </c>
      <c r="N165" s="37">
        <f>F109*$S$13</f>
        <v/>
      </c>
      <c r="O165" s="37">
        <f>F101*$S$14</f>
        <v/>
      </c>
      <c r="P165" s="34">
        <f>$S$15*F93</f>
        <v/>
      </c>
      <c r="Q165" s="37">
        <f>F85*$S$16</f>
        <v/>
      </c>
      <c r="R165" s="37">
        <f>F77*$S$17</f>
        <v/>
      </c>
      <c r="S165" s="33">
        <f>SUM(G165:R165)</f>
        <v/>
      </c>
    </row>
    <row r="166" ht="13.2" customHeight="1" s="53">
      <c r="D166" s="38" t="n">
        <v>125</v>
      </c>
      <c r="E166" s="39">
        <f>D166*($B$40/8)</f>
        <v/>
      </c>
      <c r="G166" s="30" t="n"/>
      <c r="H166" s="30" t="n"/>
      <c r="I166" s="30" t="n"/>
      <c r="J166" s="30" t="n"/>
      <c r="K166" s="34">
        <f>$S$10*F134</f>
        <v/>
      </c>
      <c r="L166" s="37">
        <f>F126*$S$11</f>
        <v/>
      </c>
      <c r="M166" s="34">
        <f>$S$12*F118</f>
        <v/>
      </c>
      <c r="N166" s="37">
        <f>F110*$S$13</f>
        <v/>
      </c>
      <c r="O166" s="37">
        <f>F102*$S$14</f>
        <v/>
      </c>
      <c r="P166" s="34">
        <f>$S$15*F94</f>
        <v/>
      </c>
      <c r="Q166" s="37">
        <f>F86*$S$16</f>
        <v/>
      </c>
      <c r="R166" s="37">
        <f>F78*$S$17</f>
        <v/>
      </c>
      <c r="S166" s="33">
        <f>SUM(G166:R166)</f>
        <v/>
      </c>
    </row>
    <row r="167" ht="13.2" customHeight="1" s="53">
      <c r="D167" s="32" t="n">
        <v>126</v>
      </c>
      <c r="E167" s="39">
        <f>D167*($B$40/8)</f>
        <v/>
      </c>
      <c r="G167" s="30" t="n"/>
      <c r="H167" s="30" t="n"/>
      <c r="I167" s="30" t="n"/>
      <c r="J167" s="30" t="n"/>
      <c r="K167" s="34">
        <f>$S$10*F135</f>
        <v/>
      </c>
      <c r="L167" s="37">
        <f>F127*$S$11</f>
        <v/>
      </c>
      <c r="M167" s="34">
        <f>$S$12*F119</f>
        <v/>
      </c>
      <c r="N167" s="37">
        <f>F111*$S$13</f>
        <v/>
      </c>
      <c r="O167" s="37">
        <f>F103*$S$14</f>
        <v/>
      </c>
      <c r="P167" s="34">
        <f>$S$15*F95</f>
        <v/>
      </c>
      <c r="Q167" s="37">
        <f>F87*$S$16</f>
        <v/>
      </c>
      <c r="R167" s="37">
        <f>F79*$S$17</f>
        <v/>
      </c>
      <c r="S167" s="33">
        <f>SUM(G167:R167)</f>
        <v/>
      </c>
    </row>
    <row r="168" ht="13.2" customHeight="1" s="53">
      <c r="D168" s="15" t="n">
        <v>127</v>
      </c>
      <c r="E168" s="39">
        <f>D168*($B$40/8)</f>
        <v/>
      </c>
      <c r="G168" s="30" t="n"/>
      <c r="H168" s="30" t="n"/>
      <c r="I168" s="30" t="n"/>
      <c r="J168" s="30" t="n"/>
      <c r="K168" s="34">
        <f>$S$10*F136</f>
        <v/>
      </c>
      <c r="L168" s="37">
        <f>F128*$S$11</f>
        <v/>
      </c>
      <c r="M168" s="34">
        <f>$S$12*F120</f>
        <v/>
      </c>
      <c r="N168" s="37">
        <f>F112*$S$13</f>
        <v/>
      </c>
      <c r="O168" s="37">
        <f>F104*$S$14</f>
        <v/>
      </c>
      <c r="P168" s="34">
        <f>$S$15*F96</f>
        <v/>
      </c>
      <c r="Q168" s="37">
        <f>F88*$S$16</f>
        <v/>
      </c>
      <c r="R168" s="37">
        <f>F80*$S$17</f>
        <v/>
      </c>
      <c r="S168" s="33">
        <f>SUM(G168:R168)</f>
        <v/>
      </c>
    </row>
    <row r="169" ht="13.2" customHeight="1" s="53">
      <c r="D169" s="38" t="n">
        <v>128</v>
      </c>
      <c r="E169" s="39">
        <f>D169*($B$40/8)</f>
        <v/>
      </c>
      <c r="G169" s="30" t="n"/>
      <c r="H169" s="30" t="n"/>
      <c r="I169" s="30" t="n"/>
      <c r="J169" s="30" t="n"/>
      <c r="K169" s="34">
        <f>$S$10*F137</f>
        <v/>
      </c>
      <c r="L169" s="37">
        <f>F129*$S$11</f>
        <v/>
      </c>
      <c r="M169" s="34">
        <f>$S$12*F121</f>
        <v/>
      </c>
      <c r="N169" s="37">
        <f>F113*$S$13</f>
        <v/>
      </c>
      <c r="O169" s="37">
        <f>F105*$S$14</f>
        <v/>
      </c>
      <c r="P169" s="34">
        <f>$S$15*F97</f>
        <v/>
      </c>
      <c r="Q169" s="37">
        <f>F89*$S$16</f>
        <v/>
      </c>
      <c r="R169" s="37">
        <f>F81*$S$17</f>
        <v/>
      </c>
      <c r="S169" s="33">
        <f>SUM(G169:R169)</f>
        <v/>
      </c>
    </row>
    <row r="170" ht="13.2" customHeight="1" s="53">
      <c r="D170" s="32" t="n">
        <v>129</v>
      </c>
      <c r="E170" s="39">
        <f>D170*($B$40/8)</f>
        <v/>
      </c>
      <c r="G170" s="30" t="n"/>
      <c r="H170" s="30" t="n"/>
      <c r="I170" s="30" t="n"/>
      <c r="J170" s="30" t="n"/>
      <c r="K170" s="34">
        <f>$S$10*F138</f>
        <v/>
      </c>
      <c r="L170" s="37">
        <f>F130*$S$11</f>
        <v/>
      </c>
      <c r="M170" s="34">
        <f>$S$12*F122</f>
        <v/>
      </c>
      <c r="N170" s="37">
        <f>F114*$S$13</f>
        <v/>
      </c>
      <c r="O170" s="37">
        <f>F106*$S$14</f>
        <v/>
      </c>
      <c r="P170" s="34">
        <f>$S$15*F98</f>
        <v/>
      </c>
      <c r="Q170" s="37">
        <f>F90*$S$16</f>
        <v/>
      </c>
      <c r="R170" s="37">
        <f>F82*$S$17</f>
        <v/>
      </c>
      <c r="S170" s="33">
        <f>SUM(G170:R170)</f>
        <v/>
      </c>
    </row>
    <row r="171" ht="13.2" customHeight="1" s="53">
      <c r="D171" s="15" t="n">
        <v>130</v>
      </c>
      <c r="E171" s="39">
        <f>D171*($B$40/8)</f>
        <v/>
      </c>
      <c r="G171" s="30" t="n"/>
      <c r="H171" s="30" t="n"/>
      <c r="I171" s="30" t="n"/>
      <c r="J171" s="30" t="n"/>
      <c r="K171" s="34">
        <f>$S$10*F139</f>
        <v/>
      </c>
      <c r="L171" s="37">
        <f>F131*$S$11</f>
        <v/>
      </c>
      <c r="M171" s="34">
        <f>$S$12*F123</f>
        <v/>
      </c>
      <c r="N171" s="37">
        <f>F115*$S$13</f>
        <v/>
      </c>
      <c r="O171" s="37">
        <f>F107*$S$14</f>
        <v/>
      </c>
      <c r="P171" s="34">
        <f>$S$15*F99</f>
        <v/>
      </c>
      <c r="Q171" s="37">
        <f>F91*$S$16</f>
        <v/>
      </c>
      <c r="R171" s="37">
        <f>F83*$S$17</f>
        <v/>
      </c>
      <c r="S171" s="33">
        <f>SUM(G171:R171)</f>
        <v/>
      </c>
    </row>
    <row r="172" ht="13.2" customHeight="1" s="53">
      <c r="D172" s="38" t="n">
        <v>131</v>
      </c>
      <c r="E172" s="39">
        <f>D172*($B$40/8)</f>
        <v/>
      </c>
      <c r="G172" s="30" t="n"/>
      <c r="H172" s="30" t="n"/>
      <c r="I172" s="30" t="n"/>
      <c r="J172" s="30" t="n"/>
      <c r="K172" s="34">
        <f>$S$10*F140</f>
        <v/>
      </c>
      <c r="L172" s="37">
        <f>F132*$S$11</f>
        <v/>
      </c>
      <c r="M172" s="34">
        <f>$S$12*F124</f>
        <v/>
      </c>
      <c r="N172" s="37">
        <f>F116*$S$13</f>
        <v/>
      </c>
      <c r="O172" s="37">
        <f>F108*$S$14</f>
        <v/>
      </c>
      <c r="P172" s="34">
        <f>$S$15*F100</f>
        <v/>
      </c>
      <c r="Q172" s="37">
        <f>F92*$S$16</f>
        <v/>
      </c>
      <c r="R172" s="37">
        <f>F84*$S$17</f>
        <v/>
      </c>
      <c r="S172" s="33">
        <f>SUM(G172:R172)</f>
        <v/>
      </c>
    </row>
    <row r="173" ht="13.2" customHeight="1" s="53">
      <c r="D173" s="32" t="n">
        <v>132</v>
      </c>
      <c r="E173" s="39">
        <f>D173*($B$40/8)</f>
        <v/>
      </c>
      <c r="G173" s="30" t="n"/>
      <c r="H173" s="30" t="n"/>
      <c r="I173" s="30" t="n"/>
      <c r="J173" s="30" t="n"/>
      <c r="K173" s="34">
        <f>$S$10*F141</f>
        <v/>
      </c>
      <c r="L173" s="37">
        <f>F133*$S$11</f>
        <v/>
      </c>
      <c r="M173" s="34">
        <f>$S$12*F125</f>
        <v/>
      </c>
      <c r="N173" s="37">
        <f>F117*$S$13</f>
        <v/>
      </c>
      <c r="O173" s="37">
        <f>F109*$S$14</f>
        <v/>
      </c>
      <c r="P173" s="34">
        <f>$S$15*F101</f>
        <v/>
      </c>
      <c r="Q173" s="37">
        <f>F93*$S$16</f>
        <v/>
      </c>
      <c r="R173" s="37">
        <f>F85*$S$17</f>
        <v/>
      </c>
      <c r="S173" s="33">
        <f>SUM(G173:R173)</f>
        <v/>
      </c>
    </row>
    <row r="174" ht="13.2" customHeight="1" s="53">
      <c r="D174" s="15" t="n">
        <v>133</v>
      </c>
      <c r="E174" s="39">
        <f>D174*($B$40/8)</f>
        <v/>
      </c>
      <c r="G174" s="30" t="n"/>
      <c r="H174" s="30" t="n"/>
      <c r="I174" s="30" t="n"/>
      <c r="J174" s="30" t="n"/>
      <c r="K174" s="30" t="n"/>
      <c r="L174" s="37">
        <f>F134*$S$11</f>
        <v/>
      </c>
      <c r="M174" s="34">
        <f>$S$12*F126</f>
        <v/>
      </c>
      <c r="N174" s="37">
        <f>F118*$S$13</f>
        <v/>
      </c>
      <c r="O174" s="37">
        <f>F110*$S$14</f>
        <v/>
      </c>
      <c r="P174" s="34">
        <f>$S$15*F102</f>
        <v/>
      </c>
      <c r="Q174" s="37">
        <f>F94*$S$16</f>
        <v/>
      </c>
      <c r="R174" s="37">
        <f>F86*$S$17</f>
        <v/>
      </c>
      <c r="S174" s="33">
        <f>SUM(G174:R174)</f>
        <v/>
      </c>
    </row>
    <row r="175" ht="13.2" customHeight="1" s="53">
      <c r="D175" s="38" t="n">
        <v>134</v>
      </c>
      <c r="E175" s="39">
        <f>D175*($B$40/8)</f>
        <v/>
      </c>
      <c r="G175" s="30" t="n"/>
      <c r="H175" s="30" t="n"/>
      <c r="I175" s="30" t="n"/>
      <c r="J175" s="30" t="n"/>
      <c r="K175" s="30" t="n"/>
      <c r="L175" s="37">
        <f>F135*$S$11</f>
        <v/>
      </c>
      <c r="M175" s="34">
        <f>$S$12*F127</f>
        <v/>
      </c>
      <c r="N175" s="37">
        <f>F119*$S$13</f>
        <v/>
      </c>
      <c r="O175" s="37">
        <f>F111*$S$14</f>
        <v/>
      </c>
      <c r="P175" s="34">
        <f>$S$15*F103</f>
        <v/>
      </c>
      <c r="Q175" s="37">
        <f>F95*$S$16</f>
        <v/>
      </c>
      <c r="R175" s="37">
        <f>F87*$S$17</f>
        <v/>
      </c>
      <c r="S175" s="33">
        <f>SUM(G175:R175)</f>
        <v/>
      </c>
    </row>
    <row r="176" ht="13.2" customHeight="1" s="53">
      <c r="D176" s="32" t="n">
        <v>135</v>
      </c>
      <c r="E176" s="39">
        <f>D176*($B$40/8)</f>
        <v/>
      </c>
      <c r="G176" s="30" t="n"/>
      <c r="H176" s="30" t="n"/>
      <c r="I176" s="30" t="n"/>
      <c r="J176" s="30" t="n"/>
      <c r="K176" s="30" t="n"/>
      <c r="L176" s="37">
        <f>F136*$S$11</f>
        <v/>
      </c>
      <c r="M176" s="34">
        <f>$S$12*F128</f>
        <v/>
      </c>
      <c r="N176" s="37">
        <f>F120*$S$13</f>
        <v/>
      </c>
      <c r="O176" s="37">
        <f>F112*$S$14</f>
        <v/>
      </c>
      <c r="P176" s="34">
        <f>$S$15*F104</f>
        <v/>
      </c>
      <c r="Q176" s="37">
        <f>F96*$S$16</f>
        <v/>
      </c>
      <c r="R176" s="37">
        <f>F88*$S$17</f>
        <v/>
      </c>
      <c r="S176" s="33">
        <f>SUM(G176:R176)</f>
        <v/>
      </c>
    </row>
    <row r="177" ht="13.2" customHeight="1" s="53">
      <c r="D177" s="15" t="n">
        <v>136</v>
      </c>
      <c r="E177" s="39">
        <f>D177*($B$40/8)</f>
        <v/>
      </c>
      <c r="G177" s="30" t="n"/>
      <c r="H177" s="30" t="n"/>
      <c r="I177" s="30" t="n"/>
      <c r="J177" s="30" t="n"/>
      <c r="K177" s="30" t="n"/>
      <c r="L177" s="37">
        <f>F137*$S$11</f>
        <v/>
      </c>
      <c r="M177" s="34">
        <f>$S$12*F129</f>
        <v/>
      </c>
      <c r="N177" s="37">
        <f>F121*$S$13</f>
        <v/>
      </c>
      <c r="O177" s="37">
        <f>F113*$S$14</f>
        <v/>
      </c>
      <c r="P177" s="34">
        <f>$S$15*F105</f>
        <v/>
      </c>
      <c r="Q177" s="37">
        <f>F97*$S$16</f>
        <v/>
      </c>
      <c r="R177" s="37">
        <f>F89*$S$17</f>
        <v/>
      </c>
      <c r="S177" s="33">
        <f>SUM(G177:R177)</f>
        <v/>
      </c>
    </row>
    <row r="178" ht="13.2" customHeight="1" s="53">
      <c r="D178" s="38" t="n">
        <v>137</v>
      </c>
      <c r="E178" s="39">
        <f>D178*($B$40/8)</f>
        <v/>
      </c>
      <c r="G178" s="30" t="n"/>
      <c r="H178" s="30" t="n"/>
      <c r="I178" s="30" t="n"/>
      <c r="J178" s="30" t="n"/>
      <c r="K178" s="30" t="n"/>
      <c r="L178" s="37">
        <f>F138*$S$11</f>
        <v/>
      </c>
      <c r="M178" s="34">
        <f>$S$12*F130</f>
        <v/>
      </c>
      <c r="N178" s="37">
        <f>F122*$S$13</f>
        <v/>
      </c>
      <c r="O178" s="37">
        <f>F114*$S$14</f>
        <v/>
      </c>
      <c r="P178" s="34">
        <f>$S$15*F106</f>
        <v/>
      </c>
      <c r="Q178" s="37">
        <f>F98*$S$16</f>
        <v/>
      </c>
      <c r="R178" s="37">
        <f>F90*$S$17</f>
        <v/>
      </c>
      <c r="S178" s="33">
        <f>SUM(G178:R178)</f>
        <v/>
      </c>
    </row>
    <row r="179" ht="13.2" customHeight="1" s="53">
      <c r="D179" s="32" t="n">
        <v>138</v>
      </c>
      <c r="E179" s="39">
        <f>D179*($B$40/8)</f>
        <v/>
      </c>
      <c r="G179" s="30" t="n"/>
      <c r="H179" s="30" t="n"/>
      <c r="I179" s="30" t="n"/>
      <c r="J179" s="30" t="n"/>
      <c r="K179" s="30" t="n"/>
      <c r="L179" s="37">
        <f>F139*$S$11</f>
        <v/>
      </c>
      <c r="M179" s="34">
        <f>$S$12*F131</f>
        <v/>
      </c>
      <c r="N179" s="37">
        <f>F123*$S$13</f>
        <v/>
      </c>
      <c r="O179" s="37">
        <f>F115*$S$14</f>
        <v/>
      </c>
      <c r="P179" s="34">
        <f>$S$15*F107</f>
        <v/>
      </c>
      <c r="Q179" s="37">
        <f>F99*$S$16</f>
        <v/>
      </c>
      <c r="R179" s="37">
        <f>F91*$S$17</f>
        <v/>
      </c>
      <c r="S179" s="33">
        <f>SUM(G179:R179)</f>
        <v/>
      </c>
    </row>
    <row r="180" ht="13.2" customHeight="1" s="53">
      <c r="D180" s="15" t="n">
        <v>139</v>
      </c>
      <c r="E180" s="39">
        <f>D180*($B$40/8)</f>
        <v/>
      </c>
      <c r="G180" s="30" t="n"/>
      <c r="H180" s="30" t="n"/>
      <c r="I180" s="30" t="n"/>
      <c r="J180" s="30" t="n"/>
      <c r="K180" s="30" t="n"/>
      <c r="L180" s="37">
        <f>F140*$S$11</f>
        <v/>
      </c>
      <c r="M180" s="34">
        <f>$S$12*F132</f>
        <v/>
      </c>
      <c r="N180" s="37">
        <f>F124*$S$13</f>
        <v/>
      </c>
      <c r="O180" s="37">
        <f>F116*$S$14</f>
        <v/>
      </c>
      <c r="P180" s="34">
        <f>$S$15*F108</f>
        <v/>
      </c>
      <c r="Q180" s="37">
        <f>F100*$S$16</f>
        <v/>
      </c>
      <c r="R180" s="37">
        <f>F92*$S$17</f>
        <v/>
      </c>
      <c r="S180" s="33">
        <f>SUM(G180:R180)</f>
        <v/>
      </c>
    </row>
    <row r="181" ht="13.2" customHeight="1" s="53">
      <c r="D181" s="38" t="n">
        <v>140</v>
      </c>
      <c r="E181" s="39">
        <f>D181*($B$40/8)</f>
        <v/>
      </c>
      <c r="G181" s="30" t="n"/>
      <c r="H181" s="30" t="n"/>
      <c r="I181" s="30" t="n"/>
      <c r="J181" s="30" t="n"/>
      <c r="K181" s="30" t="n"/>
      <c r="L181" s="37">
        <f>F141*$S$11</f>
        <v/>
      </c>
      <c r="M181" s="34">
        <f>$S$12*F133</f>
        <v/>
      </c>
      <c r="N181" s="37">
        <f>F125*$S$13</f>
        <v/>
      </c>
      <c r="O181" s="37">
        <f>F117*$S$14</f>
        <v/>
      </c>
      <c r="P181" s="34">
        <f>$S$15*F109</f>
        <v/>
      </c>
      <c r="Q181" s="37">
        <f>F101*$S$16</f>
        <v/>
      </c>
      <c r="R181" s="37">
        <f>F93*$S$17</f>
        <v/>
      </c>
      <c r="S181" s="33">
        <f>SUM(G181:R181)</f>
        <v/>
      </c>
    </row>
    <row r="182" ht="13.2" customHeight="1" s="53">
      <c r="D182" s="32" t="n">
        <v>141</v>
      </c>
      <c r="E182" s="39">
        <f>D182*($B$40/8)</f>
        <v/>
      </c>
      <c r="G182" s="30" t="n"/>
      <c r="H182" s="30" t="n"/>
      <c r="I182" s="30" t="n"/>
      <c r="J182" s="30" t="n"/>
      <c r="K182" s="30" t="n"/>
      <c r="L182" s="30" t="n"/>
      <c r="M182" s="34">
        <f>$S$12*F134</f>
        <v/>
      </c>
      <c r="N182" s="37">
        <f>F126*$S$13</f>
        <v/>
      </c>
      <c r="O182" s="37">
        <f>F118*$S$14</f>
        <v/>
      </c>
      <c r="P182" s="34">
        <f>$S$15*F110</f>
        <v/>
      </c>
      <c r="Q182" s="37">
        <f>F102*$S$16</f>
        <v/>
      </c>
      <c r="R182" s="37">
        <f>F94*$S$17</f>
        <v/>
      </c>
      <c r="S182" s="33">
        <f>SUM(G182:R182)</f>
        <v/>
      </c>
    </row>
    <row r="183" ht="13.2" customHeight="1" s="53">
      <c r="D183" s="15" t="n">
        <v>142</v>
      </c>
      <c r="E183" s="39">
        <f>D183*($B$40/8)</f>
        <v/>
      </c>
      <c r="G183" s="30" t="n"/>
      <c r="H183" s="30" t="n"/>
      <c r="I183" s="30" t="n"/>
      <c r="J183" s="30" t="n"/>
      <c r="K183" s="30" t="n"/>
      <c r="L183" s="30" t="n"/>
      <c r="M183" s="34">
        <f>$S$12*F135</f>
        <v/>
      </c>
      <c r="N183" s="37">
        <f>F127*$S$13</f>
        <v/>
      </c>
      <c r="O183" s="37">
        <f>F119*$S$14</f>
        <v/>
      </c>
      <c r="P183" s="34">
        <f>$S$15*F111</f>
        <v/>
      </c>
      <c r="Q183" s="37">
        <f>F103*$S$16</f>
        <v/>
      </c>
      <c r="R183" s="37">
        <f>F95*$S$17</f>
        <v/>
      </c>
      <c r="S183" s="33">
        <f>SUM(G183:R183)</f>
        <v/>
      </c>
    </row>
    <row r="184" ht="13.2" customHeight="1" s="53">
      <c r="D184" s="38" t="n">
        <v>143</v>
      </c>
      <c r="E184" s="39">
        <f>D184*($B$40/8)</f>
        <v/>
      </c>
      <c r="G184" s="30" t="n"/>
      <c r="H184" s="30" t="n"/>
      <c r="I184" s="30" t="n"/>
      <c r="J184" s="30" t="n"/>
      <c r="K184" s="30" t="n"/>
      <c r="L184" s="30" t="n"/>
      <c r="M184" s="34">
        <f>$S$12*F136</f>
        <v/>
      </c>
      <c r="N184" s="37">
        <f>F128*$S$13</f>
        <v/>
      </c>
      <c r="O184" s="37">
        <f>F120*$S$14</f>
        <v/>
      </c>
      <c r="P184" s="34">
        <f>$S$15*F112</f>
        <v/>
      </c>
      <c r="Q184" s="37">
        <f>F104*$S$16</f>
        <v/>
      </c>
      <c r="R184" s="37">
        <f>F96*$S$17</f>
        <v/>
      </c>
      <c r="S184" s="33">
        <f>SUM(G184:R184)</f>
        <v/>
      </c>
    </row>
    <row r="185" ht="13.2" customHeight="1" s="53">
      <c r="D185" s="32" t="n">
        <v>144</v>
      </c>
      <c r="E185" s="39">
        <f>D185*($B$40/8)</f>
        <v/>
      </c>
      <c r="G185" s="30" t="n"/>
      <c r="H185" s="30" t="n"/>
      <c r="I185" s="30" t="n"/>
      <c r="J185" s="30" t="n"/>
      <c r="K185" s="30" t="n"/>
      <c r="L185" s="30" t="n"/>
      <c r="M185" s="34">
        <f>$S$12*F137</f>
        <v/>
      </c>
      <c r="N185" s="37">
        <f>F129*$S$13</f>
        <v/>
      </c>
      <c r="O185" s="37">
        <f>F121*$S$14</f>
        <v/>
      </c>
      <c r="P185" s="34">
        <f>$S$15*F113</f>
        <v/>
      </c>
      <c r="Q185" s="37">
        <f>F105*$S$16</f>
        <v/>
      </c>
      <c r="R185" s="37">
        <f>F97*$S$17</f>
        <v/>
      </c>
      <c r="S185" s="33">
        <f>SUM(G185:R185)</f>
        <v/>
      </c>
    </row>
    <row r="186" ht="13.2" customHeight="1" s="53">
      <c r="D186" s="15" t="n">
        <v>145</v>
      </c>
      <c r="E186" s="39">
        <f>D186*($B$40/8)</f>
        <v/>
      </c>
      <c r="G186" s="30" t="n"/>
      <c r="H186" s="30" t="n"/>
      <c r="I186" s="30" t="n"/>
      <c r="J186" s="30" t="n"/>
      <c r="K186" s="30" t="n"/>
      <c r="L186" s="30" t="n"/>
      <c r="M186" s="34">
        <f>$S$12*F138</f>
        <v/>
      </c>
      <c r="N186" s="37">
        <f>F130*$S$13</f>
        <v/>
      </c>
      <c r="O186" s="37">
        <f>F122*$S$14</f>
        <v/>
      </c>
      <c r="P186" s="34">
        <f>$S$15*F114</f>
        <v/>
      </c>
      <c r="Q186" s="37">
        <f>F106*$S$16</f>
        <v/>
      </c>
      <c r="R186" s="37">
        <f>F98*$S$17</f>
        <v/>
      </c>
      <c r="S186" s="33">
        <f>SUM(G186:R186)</f>
        <v/>
      </c>
    </row>
    <row r="187" ht="13.2" customHeight="1" s="53">
      <c r="D187" s="38" t="n">
        <v>146</v>
      </c>
      <c r="E187" s="39">
        <f>D187*($B$40/8)</f>
        <v/>
      </c>
      <c r="G187" s="30" t="n"/>
      <c r="H187" s="30" t="n"/>
      <c r="I187" s="30" t="n"/>
      <c r="J187" s="30" t="n"/>
      <c r="K187" s="30" t="n"/>
      <c r="L187" s="30" t="n"/>
      <c r="M187" s="34">
        <f>$S$12*F139</f>
        <v/>
      </c>
      <c r="N187" s="37">
        <f>F131*$S$13</f>
        <v/>
      </c>
      <c r="O187" s="37">
        <f>F123*$S$14</f>
        <v/>
      </c>
      <c r="P187" s="34">
        <f>$S$15*F115</f>
        <v/>
      </c>
      <c r="Q187" s="37">
        <f>F107*$S$16</f>
        <v/>
      </c>
      <c r="R187" s="37">
        <f>F99*$S$17</f>
        <v/>
      </c>
      <c r="S187" s="33">
        <f>SUM(G187:R187)</f>
        <v/>
      </c>
    </row>
    <row r="188" ht="13.2" customHeight="1" s="53">
      <c r="D188" s="32" t="n">
        <v>147</v>
      </c>
      <c r="E188" s="39">
        <f>D188*($B$40/8)</f>
        <v/>
      </c>
      <c r="G188" s="30" t="n"/>
      <c r="H188" s="30" t="n"/>
      <c r="I188" s="30" t="n"/>
      <c r="J188" s="30" t="n"/>
      <c r="K188" s="30" t="n"/>
      <c r="L188" s="30" t="n"/>
      <c r="M188" s="34">
        <f>$S$12*F140</f>
        <v/>
      </c>
      <c r="N188" s="37">
        <f>F132*$S$13</f>
        <v/>
      </c>
      <c r="O188" s="37">
        <f>F124*$S$14</f>
        <v/>
      </c>
      <c r="P188" s="34">
        <f>$S$15*F116</f>
        <v/>
      </c>
      <c r="Q188" s="37">
        <f>F108*$S$16</f>
        <v/>
      </c>
      <c r="R188" s="37">
        <f>F100*$S$17</f>
        <v/>
      </c>
      <c r="S188" s="33">
        <f>SUM(G188:R188)</f>
        <v/>
      </c>
    </row>
    <row r="189" ht="13.2" customHeight="1" s="53">
      <c r="D189" s="15" t="n">
        <v>148</v>
      </c>
      <c r="E189" s="39">
        <f>D189*($B$40/8)</f>
        <v/>
      </c>
      <c r="G189" s="30" t="n"/>
      <c r="H189" s="30" t="n"/>
      <c r="I189" s="30" t="n"/>
      <c r="J189" s="30" t="n"/>
      <c r="K189" s="30" t="n"/>
      <c r="L189" s="30" t="n"/>
      <c r="M189" s="34">
        <f>$S$12*F141</f>
        <v/>
      </c>
      <c r="N189" s="37">
        <f>F133*$S$13</f>
        <v/>
      </c>
      <c r="O189" s="37">
        <f>F125*$S$14</f>
        <v/>
      </c>
      <c r="P189" s="34">
        <f>$S$15*F117</f>
        <v/>
      </c>
      <c r="Q189" s="37">
        <f>F109*$S$16</f>
        <v/>
      </c>
      <c r="R189" s="37">
        <f>F101*$S$17</f>
        <v/>
      </c>
      <c r="S189" s="33">
        <f>SUM(G189:R189)</f>
        <v/>
      </c>
    </row>
    <row r="190" ht="13.2" customHeight="1" s="53">
      <c r="D190" s="38" t="n">
        <v>149</v>
      </c>
      <c r="E190" s="39">
        <f>D190*($B$40/8)</f>
        <v/>
      </c>
      <c r="G190" s="30" t="n"/>
      <c r="H190" s="30" t="n"/>
      <c r="I190" s="30" t="n"/>
      <c r="J190" s="30" t="n"/>
      <c r="K190" s="30" t="n"/>
      <c r="L190" s="30" t="n"/>
      <c r="M190" s="30" t="n"/>
      <c r="N190" s="37">
        <f>F134*$S$13</f>
        <v/>
      </c>
      <c r="O190" s="37">
        <f>F126*$S$14</f>
        <v/>
      </c>
      <c r="P190" s="34">
        <f>$S$15*F118</f>
        <v/>
      </c>
      <c r="Q190" s="37">
        <f>F110*$S$16</f>
        <v/>
      </c>
      <c r="R190" s="37">
        <f>F102*$S$17</f>
        <v/>
      </c>
      <c r="S190" s="33">
        <f>SUM(G190:R190)</f>
        <v/>
      </c>
    </row>
    <row r="191" ht="13.2" customHeight="1" s="53">
      <c r="D191" s="32" t="n">
        <v>150</v>
      </c>
      <c r="E191" s="39">
        <f>D191*($B$40/8)</f>
        <v/>
      </c>
      <c r="G191" s="30" t="n"/>
      <c r="H191" s="30" t="n"/>
      <c r="I191" s="30" t="n"/>
      <c r="J191" s="30" t="n"/>
      <c r="K191" s="30" t="n"/>
      <c r="L191" s="30" t="n"/>
      <c r="M191" s="30" t="n"/>
      <c r="N191" s="37">
        <f>F135*$S$13</f>
        <v/>
      </c>
      <c r="O191" s="37">
        <f>F127*$S$14</f>
        <v/>
      </c>
      <c r="P191" s="34">
        <f>$S$15*F119</f>
        <v/>
      </c>
      <c r="Q191" s="37">
        <f>F111*$S$16</f>
        <v/>
      </c>
      <c r="R191" s="37">
        <f>F103*$S$17</f>
        <v/>
      </c>
      <c r="S191" s="33">
        <f>SUM(G191:R191)</f>
        <v/>
      </c>
    </row>
    <row r="192" ht="13.2" customHeight="1" s="53">
      <c r="D192" s="15" t="n">
        <v>151</v>
      </c>
      <c r="E192" s="39">
        <f>D192*($B$40/8)</f>
        <v/>
      </c>
      <c r="G192" s="30" t="n"/>
      <c r="H192" s="30" t="n"/>
      <c r="I192" s="30" t="n"/>
      <c r="J192" s="30" t="n"/>
      <c r="K192" s="30" t="n"/>
      <c r="L192" s="30" t="n"/>
      <c r="M192" s="30" t="n"/>
      <c r="N192" s="37">
        <f>F136*$S$13</f>
        <v/>
      </c>
      <c r="O192" s="37">
        <f>F128*$S$14</f>
        <v/>
      </c>
      <c r="P192" s="34">
        <f>$S$15*F120</f>
        <v/>
      </c>
      <c r="Q192" s="37">
        <f>F112*$S$16</f>
        <v/>
      </c>
      <c r="R192" s="37">
        <f>F104*$S$17</f>
        <v/>
      </c>
      <c r="S192" s="33">
        <f>SUM(G192:R192)</f>
        <v/>
      </c>
    </row>
    <row r="193" ht="13.2" customHeight="1" s="53">
      <c r="D193" s="38" t="n">
        <v>152</v>
      </c>
      <c r="E193" s="39">
        <f>D193*($B$40/8)</f>
        <v/>
      </c>
      <c r="G193" s="30" t="n"/>
      <c r="H193" s="30" t="n"/>
      <c r="I193" s="30" t="n"/>
      <c r="J193" s="30" t="n"/>
      <c r="K193" s="30" t="n"/>
      <c r="L193" s="30" t="n"/>
      <c r="M193" s="30" t="n"/>
      <c r="N193" s="37">
        <f>F137*$S$13</f>
        <v/>
      </c>
      <c r="O193" s="37">
        <f>F129*$S$14</f>
        <v/>
      </c>
      <c r="P193" s="34">
        <f>$S$15*F121</f>
        <v/>
      </c>
      <c r="Q193" s="37">
        <f>F113*$S$16</f>
        <v/>
      </c>
      <c r="R193" s="37">
        <f>F105*$S$17</f>
        <v/>
      </c>
      <c r="S193" s="33">
        <f>SUM(G193:R193)</f>
        <v/>
      </c>
    </row>
    <row r="194" ht="13.2" customHeight="1" s="53">
      <c r="D194" s="32" t="n">
        <v>153</v>
      </c>
      <c r="E194" s="39">
        <f>D194*($B$40/8)</f>
        <v/>
      </c>
      <c r="G194" s="30" t="n"/>
      <c r="H194" s="30" t="n"/>
      <c r="I194" s="30" t="n"/>
      <c r="J194" s="30" t="n"/>
      <c r="K194" s="30" t="n"/>
      <c r="L194" s="30" t="n"/>
      <c r="M194" s="30" t="n"/>
      <c r="N194" s="37">
        <f>F138*$S$13</f>
        <v/>
      </c>
      <c r="O194" s="37">
        <f>F130*$S$14</f>
        <v/>
      </c>
      <c r="P194" s="34">
        <f>$S$15*F122</f>
        <v/>
      </c>
      <c r="Q194" s="37">
        <f>F114*$S$16</f>
        <v/>
      </c>
      <c r="R194" s="37">
        <f>F106*$S$17</f>
        <v/>
      </c>
      <c r="S194" s="33">
        <f>SUM(G194:R194)</f>
        <v/>
      </c>
    </row>
    <row r="195" ht="13.2" customHeight="1" s="53">
      <c r="D195" s="15" t="n">
        <v>154</v>
      </c>
      <c r="E195" s="39">
        <f>D195*($B$40/8)</f>
        <v/>
      </c>
      <c r="G195" s="30" t="n"/>
      <c r="H195" s="30" t="n"/>
      <c r="I195" s="30" t="n"/>
      <c r="J195" s="30" t="n"/>
      <c r="K195" s="30" t="n"/>
      <c r="L195" s="30" t="n"/>
      <c r="M195" s="30" t="n"/>
      <c r="N195" s="37">
        <f>F139*$S$13</f>
        <v/>
      </c>
      <c r="O195" s="37">
        <f>F131*$S$14</f>
        <v/>
      </c>
      <c r="P195" s="34">
        <f>$S$15*F123</f>
        <v/>
      </c>
      <c r="Q195" s="37">
        <f>F115*$S$16</f>
        <v/>
      </c>
      <c r="R195" s="37">
        <f>F107*$S$17</f>
        <v/>
      </c>
      <c r="S195" s="33">
        <f>SUM(G195:R195)</f>
        <v/>
      </c>
    </row>
    <row r="196" ht="13.2" customHeight="1" s="53">
      <c r="D196" s="38" t="n">
        <v>155</v>
      </c>
      <c r="E196" s="39">
        <f>D196*($B$40/8)</f>
        <v/>
      </c>
      <c r="G196" s="30" t="n"/>
      <c r="H196" s="30" t="n"/>
      <c r="I196" s="30" t="n"/>
      <c r="J196" s="30" t="n"/>
      <c r="K196" s="30" t="n"/>
      <c r="L196" s="30" t="n"/>
      <c r="M196" s="30" t="n"/>
      <c r="N196" s="37">
        <f>F140*$S$13</f>
        <v/>
      </c>
      <c r="O196" s="37">
        <f>F132*$S$14</f>
        <v/>
      </c>
      <c r="P196" s="34">
        <f>$S$15*F124</f>
        <v/>
      </c>
      <c r="Q196" s="37">
        <f>F116*$S$16</f>
        <v/>
      </c>
      <c r="R196" s="37">
        <f>F108*$S$17</f>
        <v/>
      </c>
      <c r="S196" s="33">
        <f>SUM(G196:R196)</f>
        <v/>
      </c>
    </row>
    <row r="197" ht="13.2" customHeight="1" s="53">
      <c r="D197" s="32" t="n">
        <v>156</v>
      </c>
      <c r="E197" s="39">
        <f>D197*($B$40/8)</f>
        <v/>
      </c>
      <c r="G197" s="30" t="n"/>
      <c r="H197" s="30" t="n"/>
      <c r="I197" s="30" t="n"/>
      <c r="J197" s="30" t="n"/>
      <c r="K197" s="30" t="n"/>
      <c r="L197" s="30" t="n"/>
      <c r="M197" s="30" t="n"/>
      <c r="N197" s="37">
        <f>F141*$S$13</f>
        <v/>
      </c>
      <c r="O197" s="37">
        <f>F133*$S$14</f>
        <v/>
      </c>
      <c r="P197" s="34">
        <f>$S$15*F125</f>
        <v/>
      </c>
      <c r="Q197" s="37">
        <f>F117*$S$16</f>
        <v/>
      </c>
      <c r="R197" s="37">
        <f>F109*$S$17</f>
        <v/>
      </c>
      <c r="S197" s="33">
        <f>SUM(G197:R197)</f>
        <v/>
      </c>
    </row>
    <row r="198" ht="13.2" customHeight="1" s="53">
      <c r="D198" s="15" t="n">
        <v>157</v>
      </c>
      <c r="E198" s="39">
        <f>D198*($B$40/8)</f>
        <v/>
      </c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7">
        <f>F134*$S$14</f>
        <v/>
      </c>
      <c r="P198" s="34">
        <f>$S$15*F126</f>
        <v/>
      </c>
      <c r="Q198" s="37">
        <f>F118*$S$16</f>
        <v/>
      </c>
      <c r="R198" s="37">
        <f>F110*$S$17</f>
        <v/>
      </c>
      <c r="S198" s="33">
        <f>SUM(G198:R198)</f>
        <v/>
      </c>
    </row>
    <row r="199" ht="13.2" customHeight="1" s="53">
      <c r="D199" s="38" t="n">
        <v>158</v>
      </c>
      <c r="E199" s="39">
        <f>D199*($B$40/8)</f>
        <v/>
      </c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7">
        <f>F135*$S$14</f>
        <v/>
      </c>
      <c r="P199" s="34">
        <f>$S$15*F127</f>
        <v/>
      </c>
      <c r="Q199" s="37">
        <f>F119*$S$16</f>
        <v/>
      </c>
      <c r="R199" s="37">
        <f>F111*$S$17</f>
        <v/>
      </c>
      <c r="S199" s="33">
        <f>SUM(G199:R199)</f>
        <v/>
      </c>
    </row>
    <row r="200" ht="13.2" customHeight="1" s="53">
      <c r="D200" s="32" t="n">
        <v>159</v>
      </c>
      <c r="E200" s="39">
        <f>D200*($B$40/8)</f>
        <v/>
      </c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7">
        <f>F136*$S$14</f>
        <v/>
      </c>
      <c r="P200" s="34">
        <f>$S$15*F128</f>
        <v/>
      </c>
      <c r="Q200" s="37">
        <f>F120*$S$16</f>
        <v/>
      </c>
      <c r="R200" s="37">
        <f>F112*$S$17</f>
        <v/>
      </c>
      <c r="S200" s="33">
        <f>SUM(G200:R200)</f>
        <v/>
      </c>
    </row>
    <row r="201" ht="13.2" customHeight="1" s="53">
      <c r="D201" s="15" t="n">
        <v>160</v>
      </c>
      <c r="E201" s="39">
        <f>D201*($B$40/8)</f>
        <v/>
      </c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7">
        <f>F137*$S$14</f>
        <v/>
      </c>
      <c r="P201" s="34">
        <f>$S$15*F129</f>
        <v/>
      </c>
      <c r="Q201" s="37">
        <f>F121*$S$16</f>
        <v/>
      </c>
      <c r="R201" s="37">
        <f>F113*$S$17</f>
        <v/>
      </c>
      <c r="S201" s="33">
        <f>SUM(G201:R201)</f>
        <v/>
      </c>
    </row>
    <row r="202" ht="13.2" customHeight="1" s="53">
      <c r="D202" s="38" t="n">
        <v>161</v>
      </c>
      <c r="E202" s="39">
        <f>D202*($B$40/8)</f>
        <v/>
      </c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7">
        <f>F138*$S$14</f>
        <v/>
      </c>
      <c r="P202" s="34">
        <f>$S$15*F130</f>
        <v/>
      </c>
      <c r="Q202" s="37">
        <f>F122*$S$16</f>
        <v/>
      </c>
      <c r="R202" s="37">
        <f>F114*$S$17</f>
        <v/>
      </c>
      <c r="S202" s="33">
        <f>SUM(G202:R202)</f>
        <v/>
      </c>
    </row>
    <row r="203" ht="13.2" customHeight="1" s="53">
      <c r="D203" s="32" t="n">
        <v>162</v>
      </c>
      <c r="E203" s="39">
        <f>D203*($B$40/8)</f>
        <v/>
      </c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7">
        <f>F139*$S$14</f>
        <v/>
      </c>
      <c r="P203" s="34">
        <f>$S$15*F131</f>
        <v/>
      </c>
      <c r="Q203" s="37">
        <f>F123*$S$16</f>
        <v/>
      </c>
      <c r="R203" s="37">
        <f>F115*$S$17</f>
        <v/>
      </c>
      <c r="S203" s="33">
        <f>SUM(G203:R203)</f>
        <v/>
      </c>
    </row>
    <row r="204" ht="13.2" customHeight="1" s="53">
      <c r="D204" s="15" t="n">
        <v>163</v>
      </c>
      <c r="E204" s="39">
        <f>D204*($B$40/8)</f>
        <v/>
      </c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7">
        <f>F140*$S$14</f>
        <v/>
      </c>
      <c r="P204" s="34">
        <f>$S$15*F132</f>
        <v/>
      </c>
      <c r="Q204" s="37">
        <f>F124*$S$16</f>
        <v/>
      </c>
      <c r="R204" s="37">
        <f>F116*$S$17</f>
        <v/>
      </c>
      <c r="S204" s="33">
        <f>SUM(G204:R204)</f>
        <v/>
      </c>
    </row>
    <row r="205" ht="13.2" customHeight="1" s="53">
      <c r="D205" s="38" t="n">
        <v>164</v>
      </c>
      <c r="E205" s="39">
        <f>D205*($B$40/8)</f>
        <v/>
      </c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7">
        <f>F141*$S$14</f>
        <v/>
      </c>
      <c r="P205" s="34">
        <f>$S$15*F133</f>
        <v/>
      </c>
      <c r="Q205" s="37">
        <f>F125*$S$16</f>
        <v/>
      </c>
      <c r="R205" s="37">
        <f>F117*$S$17</f>
        <v/>
      </c>
      <c r="S205" s="33">
        <f>SUM(G205:R205)</f>
        <v/>
      </c>
    </row>
    <row r="206" ht="13.2" customHeight="1" s="53">
      <c r="D206" s="32" t="n">
        <v>165</v>
      </c>
      <c r="E206" s="39">
        <f>D206*($B$40/8)</f>
        <v/>
      </c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4">
        <f>$S$15*F134</f>
        <v/>
      </c>
      <c r="Q206" s="37">
        <f>F126*$S$16</f>
        <v/>
      </c>
      <c r="R206" s="37">
        <f>F118*$S$17</f>
        <v/>
      </c>
      <c r="S206" s="33">
        <f>SUM(G206:R206)</f>
        <v/>
      </c>
    </row>
    <row r="207" ht="13.2" customHeight="1" s="53">
      <c r="D207" s="15" t="n">
        <v>166</v>
      </c>
      <c r="E207" s="39">
        <f>D207*($B$40/8)</f>
        <v/>
      </c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4">
        <f>$S$15*F135</f>
        <v/>
      </c>
      <c r="Q207" s="37">
        <f>F127*$S$16</f>
        <v/>
      </c>
      <c r="R207" s="37">
        <f>F119*$S$17</f>
        <v/>
      </c>
      <c r="S207" s="33">
        <f>SUM(G207:R207)</f>
        <v/>
      </c>
    </row>
    <row r="208" ht="13.2" customHeight="1" s="53">
      <c r="D208" s="38" t="n">
        <v>167</v>
      </c>
      <c r="E208" s="39">
        <f>D208*($B$40/8)</f>
        <v/>
      </c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4">
        <f>$S$15*F136</f>
        <v/>
      </c>
      <c r="Q208" s="37">
        <f>F128*$S$16</f>
        <v/>
      </c>
      <c r="R208" s="37">
        <f>F120*$S$17</f>
        <v/>
      </c>
      <c r="S208" s="33">
        <f>SUM(G208:R208)</f>
        <v/>
      </c>
    </row>
    <row r="209" ht="13.2" customHeight="1" s="53">
      <c r="D209" s="32" t="n">
        <v>168</v>
      </c>
      <c r="E209" s="39">
        <f>D209*($B$40/8)</f>
        <v/>
      </c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4">
        <f>$S$15*F137</f>
        <v/>
      </c>
      <c r="Q209" s="37">
        <f>F129*$S$16</f>
        <v/>
      </c>
      <c r="R209" s="37">
        <f>F121*$S$17</f>
        <v/>
      </c>
      <c r="S209" s="33">
        <f>SUM(G209:R209)</f>
        <v/>
      </c>
    </row>
    <row r="210" ht="13.2" customHeight="1" s="53">
      <c r="D210" s="15" t="n">
        <v>169</v>
      </c>
      <c r="E210" s="39">
        <f>D210*($B$40/8)</f>
        <v/>
      </c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4">
        <f>$S$15*F138</f>
        <v/>
      </c>
      <c r="Q210" s="37">
        <f>F130*$S$16</f>
        <v/>
      </c>
      <c r="R210" s="37">
        <f>F122*$S$17</f>
        <v/>
      </c>
      <c r="S210" s="33">
        <f>SUM(G210:R210)</f>
        <v/>
      </c>
    </row>
    <row r="211" ht="13.2" customHeight="1" s="53">
      <c r="D211" s="38" t="n">
        <v>170</v>
      </c>
      <c r="E211" s="39">
        <f>D211*($B$40/8)</f>
        <v/>
      </c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4">
        <f>$S$15*F139</f>
        <v/>
      </c>
      <c r="Q211" s="37">
        <f>F131*$S$16</f>
        <v/>
      </c>
      <c r="R211" s="37">
        <f>F123*$S$17</f>
        <v/>
      </c>
      <c r="S211" s="33">
        <f>SUM(G211:R211)</f>
        <v/>
      </c>
    </row>
    <row r="212" ht="13.2" customHeight="1" s="53">
      <c r="D212" s="32" t="n">
        <v>171</v>
      </c>
      <c r="E212" s="39">
        <f>D212*($B$40/8)</f>
        <v/>
      </c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4">
        <f>$S$15*F140</f>
        <v/>
      </c>
      <c r="Q212" s="37">
        <f>F132*$S$16</f>
        <v/>
      </c>
      <c r="R212" s="37">
        <f>F124*$S$17</f>
        <v/>
      </c>
      <c r="S212" s="33">
        <f>SUM(G212:R212)</f>
        <v/>
      </c>
    </row>
    <row r="213" ht="13.2" customHeight="1" s="53">
      <c r="D213" s="15" t="n">
        <v>172</v>
      </c>
      <c r="E213" s="39">
        <f>D213*($B$40/8)</f>
        <v/>
      </c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4">
        <f>$S$15*F141</f>
        <v/>
      </c>
      <c r="Q213" s="37">
        <f>F133*$S$16</f>
        <v/>
      </c>
      <c r="R213" s="37">
        <f>F125*$S$17</f>
        <v/>
      </c>
      <c r="S213" s="33">
        <f>SUM(G213:R213)</f>
        <v/>
      </c>
    </row>
    <row r="214" ht="13.2" customHeight="1" s="53">
      <c r="D214" s="38" t="n">
        <v>173</v>
      </c>
      <c r="E214" s="39">
        <f>D214*($B$40/8)</f>
        <v/>
      </c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7">
        <f>F134*$S$16</f>
        <v/>
      </c>
      <c r="R214" s="37">
        <f>F126*$S$17</f>
        <v/>
      </c>
      <c r="S214" s="33">
        <f>SUM(G214:R214)</f>
        <v/>
      </c>
    </row>
    <row r="215" ht="13.2" customHeight="1" s="53">
      <c r="D215" s="32" t="n">
        <v>174</v>
      </c>
      <c r="E215" s="39">
        <f>D215*($B$40/8)</f>
        <v/>
      </c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7">
        <f>F135*$S$16</f>
        <v/>
      </c>
      <c r="R215" s="37">
        <f>F127*$S$17</f>
        <v/>
      </c>
      <c r="S215" s="33">
        <f>SUM(G215:R215)</f>
        <v/>
      </c>
    </row>
    <row r="216" ht="13.2" customHeight="1" s="53">
      <c r="D216" s="15" t="n">
        <v>175</v>
      </c>
      <c r="E216" s="39">
        <f>D216*($B$40/8)</f>
        <v/>
      </c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7">
        <f>F136*$S$16</f>
        <v/>
      </c>
      <c r="R216" s="37">
        <f>F128*$S$17</f>
        <v/>
      </c>
      <c r="S216" s="33">
        <f>SUM(G216:R216)</f>
        <v/>
      </c>
    </row>
    <row r="217" ht="13.2" customHeight="1" s="53">
      <c r="D217" s="38" t="n">
        <v>176</v>
      </c>
      <c r="E217" s="39">
        <f>D217*($B$40/8)</f>
        <v/>
      </c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7">
        <f>F137*$S$16</f>
        <v/>
      </c>
      <c r="R217" s="37">
        <f>F129*$S$17</f>
        <v/>
      </c>
      <c r="S217" s="33">
        <f>SUM(G217:R217)</f>
        <v/>
      </c>
    </row>
    <row r="218" ht="13.2" customHeight="1" s="53">
      <c r="D218" s="32" t="n">
        <v>177</v>
      </c>
      <c r="E218" s="39">
        <f>D218*($B$40/8)</f>
        <v/>
      </c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7">
        <f>F138*$S$16</f>
        <v/>
      </c>
      <c r="R218" s="37">
        <f>F130*$S$17</f>
        <v/>
      </c>
      <c r="S218" s="33">
        <f>SUM(G218:R218)</f>
        <v/>
      </c>
    </row>
    <row r="219" ht="13.2" customHeight="1" s="53">
      <c r="D219" s="15" t="n">
        <v>178</v>
      </c>
      <c r="E219" s="39">
        <f>D219*($B$40/8)</f>
        <v/>
      </c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7">
        <f>F139*$S$16</f>
        <v/>
      </c>
      <c r="R219" s="37">
        <f>F131*$S$17</f>
        <v/>
      </c>
      <c r="S219" s="33">
        <f>SUM(G219:R219)</f>
        <v/>
      </c>
    </row>
    <row r="220" ht="13.2" customHeight="1" s="53">
      <c r="D220" s="38" t="n">
        <v>179</v>
      </c>
      <c r="E220" s="39">
        <f>D220*($B$40/8)</f>
        <v/>
      </c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7">
        <f>F140*$S$16</f>
        <v/>
      </c>
      <c r="R220" s="37">
        <f>F132*$S$17</f>
        <v/>
      </c>
      <c r="S220" s="33">
        <f>SUM(G220:R220)</f>
        <v/>
      </c>
    </row>
    <row r="221" ht="13.2" customHeight="1" s="53">
      <c r="D221" s="32" t="n">
        <v>180</v>
      </c>
      <c r="E221" s="39">
        <f>D221*($B$40/8)</f>
        <v/>
      </c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7">
        <f>F141*$S$16</f>
        <v/>
      </c>
      <c r="R221" s="37">
        <f>F133*$S$17</f>
        <v/>
      </c>
      <c r="S221" s="33">
        <f>SUM(G221:R221)</f>
        <v/>
      </c>
    </row>
    <row r="222" ht="13.2" customHeight="1" s="53">
      <c r="D222" s="15" t="n">
        <v>181</v>
      </c>
      <c r="E222" s="39">
        <f>D222*($B$40/8)</f>
        <v/>
      </c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7">
        <f>F134*$S$17</f>
        <v/>
      </c>
      <c r="S222" s="33">
        <f>SUM(G222:R222)</f>
        <v/>
      </c>
    </row>
    <row r="223" ht="13.2" customHeight="1" s="53">
      <c r="D223" s="38" t="n">
        <v>182</v>
      </c>
      <c r="E223" s="39">
        <f>D223*($B$40/8)</f>
        <v/>
      </c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7">
        <f>F135*$S$17</f>
        <v/>
      </c>
      <c r="S223" s="33">
        <f>SUM(G223:R223)</f>
        <v/>
      </c>
    </row>
    <row r="224" ht="13.2" customHeight="1" s="53">
      <c r="D224" s="32" t="n">
        <v>183</v>
      </c>
      <c r="E224" s="39">
        <f>D224*($B$40/8)</f>
        <v/>
      </c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7">
        <f>F136*$S$17</f>
        <v/>
      </c>
      <c r="S224" s="33">
        <f>SUM(G224:R224)</f>
        <v/>
      </c>
    </row>
    <row r="225" ht="13.2" customHeight="1" s="53">
      <c r="D225" s="15" t="n">
        <v>184</v>
      </c>
      <c r="E225" s="39">
        <f>D225*($B$40/8)</f>
        <v/>
      </c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7">
        <f>F137*$S$17</f>
        <v/>
      </c>
      <c r="S225" s="33">
        <f>SUM(G225:R225)</f>
        <v/>
      </c>
    </row>
    <row r="226" ht="13.2" customHeight="1" s="53">
      <c r="D226" s="38" t="n">
        <v>185</v>
      </c>
      <c r="E226" s="39">
        <f>D226*($B$40/8)</f>
        <v/>
      </c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7">
        <f>F138*$S$17</f>
        <v/>
      </c>
      <c r="S226" s="33">
        <f>SUM(G226:R226)</f>
        <v/>
      </c>
    </row>
    <row r="227" ht="13.2" customHeight="1" s="53">
      <c r="D227" s="32" t="n">
        <v>186</v>
      </c>
      <c r="E227" s="39">
        <f>D227*($B$40/8)</f>
        <v/>
      </c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7">
        <f>F139*$S$17</f>
        <v/>
      </c>
      <c r="S227" s="33">
        <f>SUM(G227:R227)</f>
        <v/>
      </c>
    </row>
    <row r="228" ht="13.2" customHeight="1" s="53">
      <c r="D228" s="15" t="n">
        <v>187</v>
      </c>
      <c r="E228" s="39">
        <f>D228*($B$40/8)</f>
        <v/>
      </c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7">
        <f>F140*$S$17</f>
        <v/>
      </c>
      <c r="S228" s="33">
        <f>SUM(G228:R228)</f>
        <v/>
      </c>
    </row>
    <row r="229" ht="13.2" customHeight="1" s="53">
      <c r="D229" s="38" t="n">
        <v>188</v>
      </c>
      <c r="E229" s="39">
        <f>D229*($B$40/8)</f>
        <v/>
      </c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7">
        <f>F141*$S$17</f>
        <v/>
      </c>
      <c r="S229" s="40">
        <f>SUM(G229:R229)</f>
        <v/>
      </c>
    </row>
  </sheetData>
  <mergeCells count="35">
    <mergeCell ref="A48:A49"/>
    <mergeCell ref="B12:B13"/>
    <mergeCell ref="B18:B19"/>
    <mergeCell ref="B52:B53"/>
    <mergeCell ref="B8:B9"/>
    <mergeCell ref="B46:B47"/>
    <mergeCell ref="G3:I3"/>
    <mergeCell ref="A1:B1"/>
    <mergeCell ref="A6:A7"/>
    <mergeCell ref="A16:A17"/>
    <mergeCell ref="B42:B43"/>
    <mergeCell ref="A50:A51"/>
    <mergeCell ref="B14:B15"/>
    <mergeCell ref="A12:A13"/>
    <mergeCell ref="A46:A47"/>
    <mergeCell ref="B10:B11"/>
    <mergeCell ref="B6:B7"/>
    <mergeCell ref="A18:A19"/>
    <mergeCell ref="A38:C38"/>
    <mergeCell ref="A14:A15"/>
    <mergeCell ref="B44:B45"/>
    <mergeCell ref="A2:B2"/>
    <mergeCell ref="A8:A9"/>
    <mergeCell ref="A22:A23"/>
    <mergeCell ref="A42:A43"/>
    <mergeCell ref="A20:A21"/>
    <mergeCell ref="B20:B21"/>
    <mergeCell ref="A10:A11"/>
    <mergeCell ref="B40:B41"/>
    <mergeCell ref="O3:Q3"/>
    <mergeCell ref="A44:A45"/>
    <mergeCell ref="A52:A53"/>
    <mergeCell ref="B22:B23"/>
    <mergeCell ref="B16:B17"/>
    <mergeCell ref="A40:A4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Nacho Suárez</dc:creator>
  <dcterms:created xsi:type="dcterms:W3CDTF">2025-12-14T23:35:13Z</dcterms:created>
  <dcterms:modified xsi:type="dcterms:W3CDTF">2026-07-16T02:18:36Z</dcterms:modified>
  <cp:lastModifiedBy>Ignacio Suarez</cp:lastModifiedBy>
</cp:coreProperties>
</file>