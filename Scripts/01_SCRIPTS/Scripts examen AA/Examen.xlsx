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filterPrivacy="1"/>
  <xr:revisionPtr revIDLastSave="0" documentId="13_ncr:1_{69D21655-EB65-415C-B43C-FDF0DFE3A7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yc y Q lago" sheetId="1" r:id="rId1"/>
    <sheet name="yn y Q lago" sheetId="4" r:id="rId2"/>
    <sheet name="Horton" sheetId="2" r:id="rId3"/>
    <sheet name="Ev extremo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4" l="1"/>
  <c r="B7" i="4"/>
  <c r="B10" i="3"/>
  <c r="B10" i="4" l="1"/>
  <c r="B7" i="3"/>
  <c r="B6" i="3"/>
  <c r="B9" i="3" s="1"/>
  <c r="B5" i="2" l="1"/>
  <c r="B5" i="1" l="1"/>
  <c r="B6" i="1" s="1"/>
</calcChain>
</file>

<file path=xl/sharedStrings.xml><?xml version="1.0" encoding="utf-8"?>
<sst xmlns="http://schemas.openxmlformats.org/spreadsheetml/2006/main" count="37" uniqueCount="31">
  <si>
    <t>b</t>
  </si>
  <si>
    <t>hL1</t>
  </si>
  <si>
    <t>m</t>
  </si>
  <si>
    <t>yc</t>
  </si>
  <si>
    <t>Q</t>
  </si>
  <si>
    <t>g</t>
  </si>
  <si>
    <t>fc</t>
  </si>
  <si>
    <t>f0</t>
  </si>
  <si>
    <t>k</t>
  </si>
  <si>
    <t>t</t>
  </si>
  <si>
    <t>f(t)</t>
  </si>
  <si>
    <t>infiltracion potencial</t>
  </si>
  <si>
    <t>min</t>
  </si>
  <si>
    <t>max</t>
  </si>
  <si>
    <t>Para lagos que se conserva la carga y el tirante es critico</t>
  </si>
  <si>
    <t>P</t>
  </si>
  <si>
    <t>d</t>
  </si>
  <si>
    <t>P3,10</t>
  </si>
  <si>
    <t>e</t>
  </si>
  <si>
    <t>CD</t>
  </si>
  <si>
    <t>A</t>
  </si>
  <si>
    <t>CA</t>
  </si>
  <si>
    <t>Tr</t>
  </si>
  <si>
    <t>CT</t>
  </si>
  <si>
    <t>Qsupuesto</t>
  </si>
  <si>
    <t>E1</t>
  </si>
  <si>
    <t>yn</t>
  </si>
  <si>
    <t>octave</t>
  </si>
  <si>
    <t>INPUT</t>
  </si>
  <si>
    <t>E2</t>
  </si>
  <si>
    <t>Dmax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</si>
</sst>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E4" sqref="E4"/>
    </sheetView>
  </sheetViews>
  <sheetFormatPr baseColWidth="10" defaultColWidth="9.140625" defaultRowHeight="15" x14ac:dyDescent="0.25"/>
  <cols>
    <col min="2" max="2" width="11.85546875" bestFit="1" customWidth="1"/>
  </cols>
  <sheetData>
    <row r="1" spans="1:2" x14ac:dyDescent="0.25">
      <c r="A1" t="s">
        <v>0</v>
      </c>
      <c r="B1">
        <v>1.3</v>
      </c>
    </row>
    <row r="2" spans="1:2" x14ac:dyDescent="0.25">
      <c r="A2" t="s">
        <v>1</v>
      </c>
      <c r="B2">
        <v>1.1000000000000001</v>
      </c>
    </row>
    <row r="3" spans="1:2" x14ac:dyDescent="0.25">
      <c r="A3" t="s">
        <v>2</v>
      </c>
      <c r="B3">
        <v>3</v>
      </c>
    </row>
    <row r="4" spans="1:2" x14ac:dyDescent="0.25">
      <c r="A4" t="s">
        <v>5</v>
      </c>
      <c r="B4">
        <v>9.81</v>
      </c>
    </row>
    <row r="5" spans="1:2" x14ac:dyDescent="0.25">
      <c r="A5" t="s">
        <v>3</v>
      </c>
      <c r="B5" s="1">
        <f>(4*B3*B2-3*B1+SQRT((3*B1-4*B3*B2)^2+4*5*2*B3*B2*B1))/(2*5*B3)</f>
        <v>0.84550599125188752</v>
      </c>
    </row>
    <row r="6" spans="1:2" x14ac:dyDescent="0.25">
      <c r="A6" t="s">
        <v>4</v>
      </c>
      <c r="B6" s="1">
        <f>SQRT(B4*((B1+B3*B5)*B5)^3/(B1+2*B3*B5))</f>
        <v>7.2484009631941015</v>
      </c>
    </row>
    <row r="8" spans="1:2" x14ac:dyDescent="0.25">
      <c r="A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selection activeCell="D14" sqref="D14"/>
    </sheetView>
  </sheetViews>
  <sheetFormatPr baseColWidth="10" defaultRowHeight="15" x14ac:dyDescent="0.25"/>
  <sheetData>
    <row r="1" spans="1:3" x14ac:dyDescent="0.25">
      <c r="A1" s="3" t="s">
        <v>0</v>
      </c>
      <c r="B1" s="3">
        <v>3</v>
      </c>
      <c r="C1" s="4" t="s">
        <v>28</v>
      </c>
    </row>
    <row r="2" spans="1:3" x14ac:dyDescent="0.25">
      <c r="A2" s="3" t="s">
        <v>2</v>
      </c>
      <c r="B2" s="3">
        <v>2</v>
      </c>
      <c r="C2" s="4"/>
    </row>
    <row r="3" spans="1:3" x14ac:dyDescent="0.25">
      <c r="A3" s="3" t="s">
        <v>1</v>
      </c>
      <c r="B3" s="3">
        <v>1.6</v>
      </c>
      <c r="C3" s="4"/>
    </row>
    <row r="4" spans="1:3" x14ac:dyDescent="0.25">
      <c r="A4" s="3" t="s">
        <v>24</v>
      </c>
      <c r="B4" s="3">
        <v>15</v>
      </c>
      <c r="C4" s="4"/>
    </row>
    <row r="5" spans="1:3" x14ac:dyDescent="0.25">
      <c r="A5" s="3" t="s">
        <v>5</v>
      </c>
      <c r="B5" s="3">
        <v>9.81</v>
      </c>
      <c r="C5" s="4"/>
    </row>
    <row r="6" spans="1:3" x14ac:dyDescent="0.25">
      <c r="A6" t="s">
        <v>26</v>
      </c>
      <c r="B6">
        <v>1.4470000000000001</v>
      </c>
      <c r="C6" t="s">
        <v>27</v>
      </c>
    </row>
    <row r="7" spans="1:3" x14ac:dyDescent="0.25">
      <c r="A7" t="s">
        <v>25</v>
      </c>
      <c r="B7" s="1">
        <f>B6+B4^2/(2*B5*(B6*(B1+B2*B6))^2)</f>
        <v>1.6046616944580445</v>
      </c>
    </row>
    <row r="8" spans="1:3" x14ac:dyDescent="0.25">
      <c r="A8" t="s">
        <v>3</v>
      </c>
      <c r="B8">
        <v>1.071</v>
      </c>
      <c r="C8" t="s">
        <v>27</v>
      </c>
    </row>
    <row r="9" spans="1:3" x14ac:dyDescent="0.25">
      <c r="A9" t="s">
        <v>29</v>
      </c>
      <c r="B9" s="1">
        <f>B8+B4^2/(2*B5*(B8*(B2*B8+B1))^2)</f>
        <v>1.4491293853851783</v>
      </c>
    </row>
    <row r="10" spans="1:3" x14ac:dyDescent="0.25">
      <c r="A10" t="s">
        <v>30</v>
      </c>
      <c r="B10" s="1">
        <f>B7-B9</f>
        <v>0.15553230907286619</v>
      </c>
    </row>
  </sheetData>
  <mergeCells count="1">
    <mergeCell ref="C1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B4" sqref="B4"/>
    </sheetView>
  </sheetViews>
  <sheetFormatPr baseColWidth="10" defaultRowHeight="15" x14ac:dyDescent="0.25"/>
  <sheetData>
    <row r="1" spans="1:3" x14ac:dyDescent="0.25">
      <c r="A1" t="s">
        <v>6</v>
      </c>
      <c r="B1">
        <v>0.4</v>
      </c>
      <c r="C1" t="s">
        <v>12</v>
      </c>
    </row>
    <row r="2" spans="1:3" x14ac:dyDescent="0.25">
      <c r="A2" t="s">
        <v>7</v>
      </c>
      <c r="B2">
        <v>7.6</v>
      </c>
      <c r="C2" t="s">
        <v>13</v>
      </c>
    </row>
    <row r="3" spans="1:3" x14ac:dyDescent="0.25">
      <c r="A3" t="s">
        <v>8</v>
      </c>
      <c r="B3">
        <v>0.5</v>
      </c>
    </row>
    <row r="4" spans="1:3" x14ac:dyDescent="0.25">
      <c r="A4" t="s">
        <v>9</v>
      </c>
      <c r="B4">
        <v>0.5</v>
      </c>
    </row>
    <row r="5" spans="1:3" x14ac:dyDescent="0.25">
      <c r="A5" t="s">
        <v>10</v>
      </c>
      <c r="B5" s="1">
        <f>B1+(B2-B1)*2.718^(-B3*B4)</f>
        <v>6.0075109889026024</v>
      </c>
      <c r="C5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>
      <selection activeCell="G8" sqref="G8"/>
    </sheetView>
  </sheetViews>
  <sheetFormatPr baseColWidth="10" defaultRowHeight="15" x14ac:dyDescent="0.25"/>
  <sheetData>
    <row r="1" spans="1:2" x14ac:dyDescent="0.25">
      <c r="A1" t="s">
        <v>15</v>
      </c>
      <c r="B1">
        <v>49</v>
      </c>
    </row>
    <row r="2" spans="1:2" x14ac:dyDescent="0.25">
      <c r="A2" t="s">
        <v>16</v>
      </c>
      <c r="B2">
        <v>0.5</v>
      </c>
    </row>
    <row r="3" spans="1:2" x14ac:dyDescent="0.25">
      <c r="A3" t="s">
        <v>17</v>
      </c>
      <c r="B3">
        <v>82</v>
      </c>
    </row>
    <row r="4" spans="1:2" x14ac:dyDescent="0.25">
      <c r="A4" t="s">
        <v>18</v>
      </c>
      <c r="B4">
        <v>2.718</v>
      </c>
    </row>
    <row r="5" spans="1:2" x14ac:dyDescent="0.25">
      <c r="A5" t="s">
        <v>20</v>
      </c>
      <c r="B5">
        <v>75</v>
      </c>
    </row>
    <row r="6" spans="1:2" x14ac:dyDescent="0.25">
      <c r="A6" t="s">
        <v>19</v>
      </c>
      <c r="B6" s="2">
        <f>IF(B2&lt;3,0.6208*B2/(B2+0.0137)^0.5639,1.0287+B2/(B2+1.0293)^0.8083)</f>
        <v>0.45191066266955549</v>
      </c>
    </row>
    <row r="7" spans="1:2" x14ac:dyDescent="0.25">
      <c r="A7" t="s">
        <v>21</v>
      </c>
      <c r="B7" s="2">
        <f>1-(0.3549*B2^(-0.4272))*(1-B4^(-0.005792*B5))</f>
        <v>0.83187184048914364</v>
      </c>
    </row>
    <row r="8" spans="1:2" x14ac:dyDescent="0.25">
      <c r="A8" t="s">
        <v>22</v>
      </c>
      <c r="B8">
        <v>221.42577638555568</v>
      </c>
    </row>
    <row r="9" spans="1:2" x14ac:dyDescent="0.25">
      <c r="A9" t="s">
        <v>23</v>
      </c>
      <c r="B9">
        <f>B1/(B3*B6*B7)</f>
        <v>1.5895464220626574</v>
      </c>
    </row>
    <row r="10" spans="1:2" x14ac:dyDescent="0.25">
      <c r="B10">
        <f>0.5786-0.4312*LOG(LN(B8/(B8-1)))</f>
        <v>1.5894387235822365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yc y Q lago</vt:lpstr>
      <vt:lpstr>yn y Q lago</vt:lpstr>
      <vt:lpstr>Horton</vt:lpstr>
      <vt:lpstr>Ev extremos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2021-12-17T13:47:48Z</dcterms:modified>
</cp:coreProperties>
</file>