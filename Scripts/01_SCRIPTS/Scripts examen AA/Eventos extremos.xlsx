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Examen HHA\Scripts examen AA\"/>
    </mc:Choice>
  </mc:AlternateContent>
  <xr:revisionPtr revIDLastSave="0" documentId="13_ncr:1_{6CDE94BC-6873-4E8E-AA33-E70DA6DCB73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álculos (grande)" sheetId="1" r:id="rId1"/>
    <sheet name="Cálculos (chica)" sheetId="2" r:id="rId2"/>
    <sheet name="Horton" sheetId="12" r:id="rId3"/>
    <sheet name="Hoja 4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5" i="2" l="1"/>
  <c r="M5" i="2"/>
  <c r="L20" i="2"/>
  <c r="L19" i="2"/>
  <c r="D5" i="2"/>
  <c r="N9" i="2"/>
  <c r="M14" i="2" l="1"/>
  <c r="M12" i="2" s="1"/>
  <c r="M7" i="2"/>
  <c r="N2" i="2"/>
  <c r="J7" i="2" s="1"/>
  <c r="B14" i="1"/>
  <c r="J4" i="1"/>
  <c r="J2" i="1"/>
  <c r="E7" i="1"/>
  <c r="C7" i="1" l="1"/>
  <c r="N3" i="11" l="1"/>
  <c r="B3" i="11"/>
  <c r="C3" i="11" s="1"/>
  <c r="F43" i="2"/>
  <c r="D43" i="2"/>
  <c r="F42" i="2"/>
  <c r="D42" i="2"/>
  <c r="F41" i="2"/>
  <c r="D41" i="2"/>
  <c r="F40" i="2"/>
  <c r="D40" i="2"/>
  <c r="F39" i="2"/>
  <c r="D39" i="2"/>
  <c r="F38" i="2"/>
  <c r="D38" i="2"/>
  <c r="F37" i="2"/>
  <c r="D37" i="2"/>
  <c r="F36" i="2"/>
  <c r="D36" i="2"/>
  <c r="F35" i="2"/>
  <c r="D35" i="2"/>
  <c r="F34" i="2"/>
  <c r="D34" i="2"/>
  <c r="F33" i="2"/>
  <c r="D33" i="2"/>
  <c r="F32" i="2"/>
  <c r="D32" i="2"/>
  <c r="E27" i="2"/>
  <c r="I26" i="2"/>
  <c r="I27" i="2" s="1"/>
  <c r="E18" i="2"/>
  <c r="J13" i="2"/>
  <c r="D6" i="2"/>
  <c r="C6" i="2"/>
  <c r="J2" i="2"/>
  <c r="F43" i="1"/>
  <c r="D43" i="1"/>
  <c r="F42" i="1"/>
  <c r="D42" i="1"/>
  <c r="F41" i="1"/>
  <c r="D41" i="1"/>
  <c r="F40" i="1"/>
  <c r="D40" i="1"/>
  <c r="F39" i="1"/>
  <c r="D39" i="1"/>
  <c r="F38" i="1"/>
  <c r="D38" i="1"/>
  <c r="F37" i="1"/>
  <c r="D37" i="1"/>
  <c r="F36" i="1"/>
  <c r="D36" i="1"/>
  <c r="F35" i="1"/>
  <c r="D35" i="1"/>
  <c r="F34" i="1"/>
  <c r="D34" i="1"/>
  <c r="F33" i="1"/>
  <c r="D33" i="1"/>
  <c r="F32" i="1"/>
  <c r="D32" i="1"/>
  <c r="E27" i="1"/>
  <c r="I26" i="1"/>
  <c r="I27" i="1" s="1"/>
  <c r="E18" i="1"/>
  <c r="J13" i="1"/>
  <c r="J4" i="2" l="1"/>
  <c r="D61" i="2" s="1"/>
  <c r="B4" i="11"/>
  <c r="B5" i="11" s="1"/>
  <c r="D61" i="1"/>
  <c r="D63" i="1" s="1"/>
  <c r="G62" i="1" s="1"/>
  <c r="E20" i="1"/>
  <c r="J15" i="1" s="1"/>
  <c r="E21" i="1"/>
  <c r="E21" i="2"/>
  <c r="E26" i="1"/>
  <c r="D3" i="11"/>
  <c r="C4" i="11"/>
  <c r="C5" i="11" s="1"/>
  <c r="B14" i="2" l="1"/>
  <c r="E26" i="2"/>
  <c r="E20" i="2"/>
  <c r="J14" i="2" s="1"/>
  <c r="J16" i="2" s="1"/>
  <c r="F62" i="2"/>
  <c r="D62" i="2"/>
  <c r="F63" i="2" s="1"/>
  <c r="D63" i="2"/>
  <c r="G62" i="2" s="1"/>
  <c r="J15" i="2"/>
  <c r="J17" i="2" s="1"/>
  <c r="E19" i="2" s="1"/>
  <c r="E22" i="2" s="1"/>
  <c r="J20" i="2" s="1"/>
  <c r="J14" i="1"/>
  <c r="J17" i="1" s="1"/>
  <c r="E19" i="1" s="1"/>
  <c r="E22" i="1" s="1"/>
  <c r="D62" i="1"/>
  <c r="F63" i="1" s="1"/>
  <c r="F62" i="1"/>
  <c r="C170" i="1"/>
  <c r="C166" i="1"/>
  <c r="C162" i="1"/>
  <c r="C158" i="1"/>
  <c r="C154" i="1"/>
  <c r="C150" i="1"/>
  <c r="C146" i="1"/>
  <c r="C142" i="1"/>
  <c r="C138" i="1"/>
  <c r="C134" i="1"/>
  <c r="C171" i="1"/>
  <c r="C167" i="1"/>
  <c r="C163" i="1"/>
  <c r="C159" i="1"/>
  <c r="C155" i="1"/>
  <c r="C151" i="1"/>
  <c r="C147" i="1"/>
  <c r="C143" i="1"/>
  <c r="C139" i="1"/>
  <c r="C135" i="1"/>
  <c r="C172" i="1"/>
  <c r="C168" i="1"/>
  <c r="C164" i="1"/>
  <c r="C160" i="1"/>
  <c r="C156" i="1"/>
  <c r="C152" i="1"/>
  <c r="C148" i="1"/>
  <c r="C144" i="1"/>
  <c r="C140" i="1"/>
  <c r="C136" i="1"/>
  <c r="C165" i="1"/>
  <c r="C149" i="1"/>
  <c r="C133" i="1"/>
  <c r="C132" i="1"/>
  <c r="C128" i="1"/>
  <c r="C124" i="1"/>
  <c r="C120" i="1"/>
  <c r="C117" i="1"/>
  <c r="C115" i="1"/>
  <c r="C112" i="1"/>
  <c r="C104" i="1"/>
  <c r="C101" i="1"/>
  <c r="C99" i="1"/>
  <c r="C96" i="1"/>
  <c r="C88" i="1"/>
  <c r="C85" i="1"/>
  <c r="C83" i="1"/>
  <c r="C80" i="1"/>
  <c r="C42" i="1"/>
  <c r="C40" i="1"/>
  <c r="C38" i="1"/>
  <c r="C36" i="1"/>
  <c r="C34" i="1"/>
  <c r="C32" i="1"/>
  <c r="C157" i="1"/>
  <c r="C141" i="1"/>
  <c r="C130" i="1"/>
  <c r="C126" i="1"/>
  <c r="C122" i="1"/>
  <c r="C118" i="1"/>
  <c r="C116" i="1"/>
  <c r="C114" i="1"/>
  <c r="C110" i="1"/>
  <c r="C109" i="1"/>
  <c r="C108" i="1"/>
  <c r="C107" i="1"/>
  <c r="C106" i="1"/>
  <c r="C102" i="1"/>
  <c r="C100" i="1"/>
  <c r="C98" i="1"/>
  <c r="C94" i="1"/>
  <c r="C93" i="1"/>
  <c r="C92" i="1"/>
  <c r="C91" i="1"/>
  <c r="C90" i="1"/>
  <c r="C86" i="1"/>
  <c r="C84" i="1"/>
  <c r="C82" i="1"/>
  <c r="C77" i="1"/>
  <c r="C76" i="1"/>
  <c r="C75" i="1"/>
  <c r="C43" i="1"/>
  <c r="C41" i="1"/>
  <c r="C39" i="1"/>
  <c r="C37" i="1"/>
  <c r="C35" i="1"/>
  <c r="C33" i="1"/>
  <c r="C145" i="1"/>
  <c r="C97" i="1"/>
  <c r="C87" i="1"/>
  <c r="C81" i="1"/>
  <c r="C169" i="1"/>
  <c r="C153" i="1"/>
  <c r="C137" i="1"/>
  <c r="C129" i="1"/>
  <c r="C125" i="1"/>
  <c r="C121" i="1"/>
  <c r="C111" i="1"/>
  <c r="C105" i="1"/>
  <c r="C95" i="1"/>
  <c r="C89" i="1"/>
  <c r="C79" i="1"/>
  <c r="C78" i="1"/>
  <c r="C74" i="1"/>
  <c r="C161" i="1"/>
  <c r="C131" i="1"/>
  <c r="C127" i="1"/>
  <c r="C123" i="1"/>
  <c r="C119" i="1"/>
  <c r="C113" i="1"/>
  <c r="C103" i="1"/>
  <c r="H68" i="2"/>
  <c r="G68" i="2"/>
  <c r="G67" i="2"/>
  <c r="C169" i="2"/>
  <c r="C165" i="2"/>
  <c r="C161" i="2"/>
  <c r="C157" i="2"/>
  <c r="C153" i="2"/>
  <c r="C171" i="2"/>
  <c r="C167" i="2"/>
  <c r="C163" i="2"/>
  <c r="C159" i="2"/>
  <c r="C155" i="2"/>
  <c r="C168" i="2"/>
  <c r="C160" i="2"/>
  <c r="C152" i="2"/>
  <c r="C148" i="2"/>
  <c r="C144" i="2"/>
  <c r="C140" i="2"/>
  <c r="C136" i="2"/>
  <c r="C132" i="2"/>
  <c r="C128" i="2"/>
  <c r="C124" i="2"/>
  <c r="C120" i="2"/>
  <c r="C117" i="2"/>
  <c r="C115" i="2"/>
  <c r="C112" i="2"/>
  <c r="C104" i="2"/>
  <c r="C101" i="2"/>
  <c r="C99" i="2"/>
  <c r="C96" i="2"/>
  <c r="C88" i="2"/>
  <c r="C85" i="2"/>
  <c r="C83" i="2"/>
  <c r="C80" i="2"/>
  <c r="C42" i="2"/>
  <c r="C40" i="2"/>
  <c r="C38" i="2"/>
  <c r="C36" i="2"/>
  <c r="C34" i="2"/>
  <c r="C32" i="2"/>
  <c r="C170" i="2"/>
  <c r="C162" i="2"/>
  <c r="C154" i="2"/>
  <c r="C149" i="2"/>
  <c r="C145" i="2"/>
  <c r="C141" i="2"/>
  <c r="C137" i="2"/>
  <c r="C133" i="2"/>
  <c r="C129" i="2"/>
  <c r="C125" i="2"/>
  <c r="C121" i="2"/>
  <c r="C111" i="2"/>
  <c r="C105" i="2"/>
  <c r="C95" i="2"/>
  <c r="C89" i="2"/>
  <c r="C79" i="2"/>
  <c r="C172" i="2"/>
  <c r="C164" i="2"/>
  <c r="C156" i="2"/>
  <c r="C150" i="2"/>
  <c r="C146" i="2"/>
  <c r="C142" i="2"/>
  <c r="C138" i="2"/>
  <c r="C134" i="2"/>
  <c r="C130" i="2"/>
  <c r="C126" i="2"/>
  <c r="C122" i="2"/>
  <c r="C118" i="2"/>
  <c r="C116" i="2"/>
  <c r="C114" i="2"/>
  <c r="C110" i="2"/>
  <c r="C109" i="2"/>
  <c r="C108" i="2"/>
  <c r="C107" i="2"/>
  <c r="C106" i="2"/>
  <c r="C102" i="2"/>
  <c r="C100" i="2"/>
  <c r="C98" i="2"/>
  <c r="C94" i="2"/>
  <c r="C93" i="2"/>
  <c r="C92" i="2"/>
  <c r="C91" i="2"/>
  <c r="C90" i="2"/>
  <c r="C86" i="2"/>
  <c r="C84" i="2"/>
  <c r="C82" i="2"/>
  <c r="C78" i="2"/>
  <c r="C77" i="2"/>
  <c r="C76" i="2"/>
  <c r="C75" i="2"/>
  <c r="C43" i="2"/>
  <c r="C41" i="2"/>
  <c r="C39" i="2"/>
  <c r="C37" i="2"/>
  <c r="C35" i="2"/>
  <c r="C33" i="2"/>
  <c r="C166" i="2"/>
  <c r="C143" i="2"/>
  <c r="C127" i="2"/>
  <c r="C97" i="2"/>
  <c r="C87" i="2"/>
  <c r="C151" i="2"/>
  <c r="C135" i="2"/>
  <c r="C119" i="2"/>
  <c r="C158" i="2"/>
  <c r="C139" i="2"/>
  <c r="C123" i="2"/>
  <c r="C147" i="2"/>
  <c r="C131" i="2"/>
  <c r="C103" i="2"/>
  <c r="C81" i="2"/>
  <c r="C74" i="2"/>
  <c r="C113" i="2"/>
  <c r="D4" i="11"/>
  <c r="D5" i="11" s="1"/>
  <c r="E3" i="11"/>
  <c r="J16" i="1" l="1"/>
  <c r="H68" i="1"/>
  <c r="D118" i="1" s="1"/>
  <c r="G68" i="1"/>
  <c r="G67" i="1"/>
  <c r="D91" i="1" s="1"/>
  <c r="D74" i="2"/>
  <c r="I163" i="2"/>
  <c r="K171" i="2"/>
  <c r="G155" i="2"/>
  <c r="J167" i="2"/>
  <c r="F151" i="2"/>
  <c r="H159" i="2"/>
  <c r="E147" i="2"/>
  <c r="D147" i="2"/>
  <c r="D119" i="2"/>
  <c r="D97" i="2"/>
  <c r="E33" i="2"/>
  <c r="G33" i="2"/>
  <c r="E41" i="2"/>
  <c r="G41" i="2"/>
  <c r="D77" i="2"/>
  <c r="D86" i="2"/>
  <c r="D93" i="2"/>
  <c r="D102" i="2"/>
  <c r="D109" i="2"/>
  <c r="D118" i="2"/>
  <c r="L162" i="2"/>
  <c r="N170" i="2"/>
  <c r="J154" i="2"/>
  <c r="I150" i="2"/>
  <c r="E134" i="2"/>
  <c r="H146" i="2"/>
  <c r="D134" i="2"/>
  <c r="M166" i="2"/>
  <c r="G142" i="2"/>
  <c r="K158" i="2"/>
  <c r="F138" i="2"/>
  <c r="H162" i="2"/>
  <c r="J170" i="2"/>
  <c r="F154" i="2"/>
  <c r="I166" i="2"/>
  <c r="E150" i="2"/>
  <c r="G158" i="2"/>
  <c r="D150" i="2"/>
  <c r="D79" i="2"/>
  <c r="D111" i="2"/>
  <c r="K157" i="2"/>
  <c r="M165" i="2"/>
  <c r="L161" i="2"/>
  <c r="H145" i="2"/>
  <c r="D133" i="2"/>
  <c r="J153" i="2"/>
  <c r="G141" i="2"/>
  <c r="F137" i="2"/>
  <c r="I149" i="2"/>
  <c r="N169" i="2"/>
  <c r="E133" i="2"/>
  <c r="G157" i="2"/>
  <c r="I165" i="2"/>
  <c r="D149" i="2"/>
  <c r="J169" i="2"/>
  <c r="H161" i="2"/>
  <c r="F153" i="2"/>
  <c r="E149" i="2"/>
  <c r="G32" i="2"/>
  <c r="E32" i="2"/>
  <c r="G40" i="2"/>
  <c r="E40" i="2"/>
  <c r="D85" i="2"/>
  <c r="D101" i="2"/>
  <c r="D117" i="2"/>
  <c r="N168" i="2"/>
  <c r="J152" i="2"/>
  <c r="L160" i="2"/>
  <c r="O172" i="2"/>
  <c r="G140" i="2"/>
  <c r="M164" i="2"/>
  <c r="F136" i="2"/>
  <c r="K156" i="2"/>
  <c r="I148" i="2"/>
  <c r="E132" i="2"/>
  <c r="H144" i="2"/>
  <c r="D132" i="2"/>
  <c r="J168" i="2"/>
  <c r="F152" i="2"/>
  <c r="H160" i="2"/>
  <c r="G156" i="2"/>
  <c r="K172" i="2"/>
  <c r="E148" i="2"/>
  <c r="I164" i="2"/>
  <c r="D148" i="2"/>
  <c r="I171" i="2"/>
  <c r="E155" i="2"/>
  <c r="G163" i="2"/>
  <c r="H167" i="2"/>
  <c r="D155" i="2"/>
  <c r="F159" i="2"/>
  <c r="E171" i="2"/>
  <c r="D171" i="2"/>
  <c r="E165" i="2"/>
  <c r="D165" i="2"/>
  <c r="F169" i="2"/>
  <c r="D81" i="2"/>
  <c r="D123" i="2"/>
  <c r="M167" i="2"/>
  <c r="K159" i="2"/>
  <c r="N171" i="2"/>
  <c r="F139" i="2"/>
  <c r="L163" i="2"/>
  <c r="I151" i="2"/>
  <c r="E135" i="2"/>
  <c r="J155" i="2"/>
  <c r="H147" i="2"/>
  <c r="D135" i="2"/>
  <c r="G143" i="2"/>
  <c r="M159" i="2"/>
  <c r="O167" i="2"/>
  <c r="N163" i="2"/>
  <c r="J147" i="2"/>
  <c r="F131" i="2"/>
  <c r="L155" i="2"/>
  <c r="I143" i="2"/>
  <c r="E127" i="2"/>
  <c r="H139" i="2"/>
  <c r="D127" i="2"/>
  <c r="K151" i="2"/>
  <c r="P171" i="2"/>
  <c r="G135" i="2"/>
  <c r="E35" i="2"/>
  <c r="G35" i="2"/>
  <c r="E43" i="2"/>
  <c r="G43" i="2"/>
  <c r="D78" i="2"/>
  <c r="D90" i="2"/>
  <c r="D94" i="2"/>
  <c r="D106" i="2"/>
  <c r="D110" i="2"/>
  <c r="D122" i="2"/>
  <c r="L166" i="2"/>
  <c r="J158" i="2"/>
  <c r="M170" i="2"/>
  <c r="E138" i="2"/>
  <c r="K162" i="2"/>
  <c r="H150" i="2"/>
  <c r="D138" i="2"/>
  <c r="I154" i="2"/>
  <c r="G146" i="2"/>
  <c r="F142" i="2"/>
  <c r="F160" i="2"/>
  <c r="H168" i="2"/>
  <c r="D156" i="2"/>
  <c r="G164" i="2"/>
  <c r="E156" i="2"/>
  <c r="I172" i="2"/>
  <c r="D89" i="2"/>
  <c r="D121" i="2"/>
  <c r="K161" i="2"/>
  <c r="M169" i="2"/>
  <c r="I153" i="2"/>
  <c r="H149" i="2"/>
  <c r="D137" i="2"/>
  <c r="G145" i="2"/>
  <c r="L165" i="2"/>
  <c r="F141" i="2"/>
  <c r="J157" i="2"/>
  <c r="E137" i="2"/>
  <c r="H166" i="2"/>
  <c r="D154" i="2"/>
  <c r="F158" i="2"/>
  <c r="E154" i="2"/>
  <c r="I170" i="2"/>
  <c r="G162" i="2"/>
  <c r="G34" i="2"/>
  <c r="E34" i="2"/>
  <c r="G42" i="2"/>
  <c r="E42" i="2"/>
  <c r="D88" i="2"/>
  <c r="D104" i="2"/>
  <c r="D120" i="2"/>
  <c r="N172" i="2"/>
  <c r="J156" i="2"/>
  <c r="L164" i="2"/>
  <c r="K160" i="2"/>
  <c r="G144" i="2"/>
  <c r="I152" i="2"/>
  <c r="F140" i="2"/>
  <c r="E136" i="2"/>
  <c r="H148" i="2"/>
  <c r="D136" i="2"/>
  <c r="M168" i="2"/>
  <c r="J172" i="2"/>
  <c r="F156" i="2"/>
  <c r="H164" i="2"/>
  <c r="D152" i="2"/>
  <c r="I168" i="2"/>
  <c r="G160" i="2"/>
  <c r="E152" i="2"/>
  <c r="E159" i="2"/>
  <c r="G167" i="2"/>
  <c r="F163" i="2"/>
  <c r="H171" i="2"/>
  <c r="D159" i="2"/>
  <c r="G161" i="2"/>
  <c r="I169" i="2"/>
  <c r="E153" i="2"/>
  <c r="H165" i="2"/>
  <c r="D153" i="2"/>
  <c r="F157" i="2"/>
  <c r="E169" i="2"/>
  <c r="D169" i="2"/>
  <c r="E4" i="11"/>
  <c r="E5" i="11" s="1"/>
  <c r="F3" i="11"/>
  <c r="D103" i="2"/>
  <c r="M171" i="2"/>
  <c r="I155" i="2"/>
  <c r="K163" i="2"/>
  <c r="J159" i="2"/>
  <c r="F143" i="2"/>
  <c r="E139" i="2"/>
  <c r="H151" i="2"/>
  <c r="D139" i="2"/>
  <c r="G147" i="2"/>
  <c r="L167" i="2"/>
  <c r="I167" i="2"/>
  <c r="G159" i="2"/>
  <c r="F155" i="2"/>
  <c r="E151" i="2"/>
  <c r="J171" i="2"/>
  <c r="D151" i="2"/>
  <c r="H163" i="2"/>
  <c r="I159" i="2"/>
  <c r="K167" i="2"/>
  <c r="F147" i="2"/>
  <c r="L171" i="2"/>
  <c r="E143" i="2"/>
  <c r="J163" i="2"/>
  <c r="D143" i="2"/>
  <c r="H155" i="2"/>
  <c r="G151" i="2"/>
  <c r="E37" i="2"/>
  <c r="G37" i="2"/>
  <c r="D75" i="2"/>
  <c r="D82" i="2"/>
  <c r="D91" i="2"/>
  <c r="D98" i="2"/>
  <c r="D107" i="2"/>
  <c r="D114" i="2"/>
  <c r="P170" i="2"/>
  <c r="L154" i="2"/>
  <c r="N162" i="2"/>
  <c r="I142" i="2"/>
  <c r="E126" i="2"/>
  <c r="O166" i="2"/>
  <c r="H138" i="2"/>
  <c r="D126" i="2"/>
  <c r="M158" i="2"/>
  <c r="K150" i="2"/>
  <c r="G134" i="2"/>
  <c r="F130" i="2"/>
  <c r="J146" i="2"/>
  <c r="L170" i="2"/>
  <c r="H154" i="2"/>
  <c r="J162" i="2"/>
  <c r="I158" i="2"/>
  <c r="E142" i="2"/>
  <c r="D142" i="2"/>
  <c r="G150" i="2"/>
  <c r="F146" i="2"/>
  <c r="K166" i="2"/>
  <c r="F168" i="2"/>
  <c r="D164" i="2"/>
  <c r="G172" i="2"/>
  <c r="E164" i="2"/>
  <c r="D95" i="2"/>
  <c r="O165" i="2"/>
  <c r="M157" i="2"/>
  <c r="L153" i="2"/>
  <c r="H137" i="2"/>
  <c r="D125" i="2"/>
  <c r="K149" i="2"/>
  <c r="G133" i="2"/>
  <c r="P169" i="2"/>
  <c r="J145" i="2"/>
  <c r="F129" i="2"/>
  <c r="N161" i="2"/>
  <c r="I141" i="2"/>
  <c r="E125" i="2"/>
  <c r="K165" i="2"/>
  <c r="I157" i="2"/>
  <c r="L169" i="2"/>
  <c r="D141" i="2"/>
  <c r="J161" i="2"/>
  <c r="G149" i="2"/>
  <c r="H153" i="2"/>
  <c r="F145" i="2"/>
  <c r="E141" i="2"/>
  <c r="D162" i="2"/>
  <c r="F166" i="2"/>
  <c r="E162" i="2"/>
  <c r="G170" i="2"/>
  <c r="G36" i="2"/>
  <c r="E36" i="2"/>
  <c r="D80" i="2"/>
  <c r="D96" i="2"/>
  <c r="D112" i="2"/>
  <c r="N160" i="2"/>
  <c r="P168" i="2"/>
  <c r="L152" i="2"/>
  <c r="O164" i="2"/>
  <c r="K148" i="2"/>
  <c r="G132" i="2"/>
  <c r="M156" i="2"/>
  <c r="J144" i="2"/>
  <c r="F128" i="2"/>
  <c r="I140" i="2"/>
  <c r="E124" i="2"/>
  <c r="D124" i="2"/>
  <c r="H136" i="2"/>
  <c r="J160" i="2"/>
  <c r="L168" i="2"/>
  <c r="H152" i="2"/>
  <c r="G148" i="2"/>
  <c r="M172" i="2"/>
  <c r="F144" i="2"/>
  <c r="K164" i="2"/>
  <c r="E140" i="2"/>
  <c r="I156" i="2"/>
  <c r="D140" i="2"/>
  <c r="F164" i="2"/>
  <c r="H172" i="2"/>
  <c r="D160" i="2"/>
  <c r="G168" i="2"/>
  <c r="E160" i="2"/>
  <c r="E163" i="2"/>
  <c r="G171" i="2"/>
  <c r="D163" i="2"/>
  <c r="F167" i="2"/>
  <c r="G165" i="2"/>
  <c r="E157" i="2"/>
  <c r="H169" i="2"/>
  <c r="D157" i="2"/>
  <c r="F161" i="2"/>
  <c r="D113" i="2"/>
  <c r="M163" i="2"/>
  <c r="O171" i="2"/>
  <c r="K155" i="2"/>
  <c r="J151" i="2"/>
  <c r="F135" i="2"/>
  <c r="I147" i="2"/>
  <c r="E131" i="2"/>
  <c r="N167" i="2"/>
  <c r="H143" i="2"/>
  <c r="D131" i="2"/>
  <c r="L159" i="2"/>
  <c r="G139" i="2"/>
  <c r="H170" i="2"/>
  <c r="D158" i="2"/>
  <c r="F162" i="2"/>
  <c r="G166" i="2"/>
  <c r="E158" i="2"/>
  <c r="D87" i="2"/>
  <c r="D166" i="2"/>
  <c r="F170" i="2"/>
  <c r="E166" i="2"/>
  <c r="E39" i="2"/>
  <c r="G39" i="2"/>
  <c r="D76" i="2"/>
  <c r="D84" i="2"/>
  <c r="D92" i="2"/>
  <c r="D100" i="2"/>
  <c r="D108" i="2"/>
  <c r="D116" i="2"/>
  <c r="L158" i="2"/>
  <c r="N166" i="2"/>
  <c r="M162" i="2"/>
  <c r="I146" i="2"/>
  <c r="E130" i="2"/>
  <c r="K154" i="2"/>
  <c r="H142" i="2"/>
  <c r="D130" i="2"/>
  <c r="G138" i="2"/>
  <c r="J150" i="2"/>
  <c r="O170" i="2"/>
  <c r="F134" i="2"/>
  <c r="H158" i="2"/>
  <c r="J166" i="2"/>
  <c r="E146" i="2"/>
  <c r="K170" i="2"/>
  <c r="D146" i="2"/>
  <c r="I162" i="2"/>
  <c r="G154" i="2"/>
  <c r="F150" i="2"/>
  <c r="D172" i="2"/>
  <c r="E172" i="2"/>
  <c r="D105" i="2"/>
  <c r="O169" i="2"/>
  <c r="K153" i="2"/>
  <c r="M161" i="2"/>
  <c r="H141" i="2"/>
  <c r="D129" i="2"/>
  <c r="N165" i="2"/>
  <c r="G137" i="2"/>
  <c r="L157" i="2"/>
  <c r="J149" i="2"/>
  <c r="F133" i="2"/>
  <c r="E129" i="2"/>
  <c r="I145" i="2"/>
  <c r="K169" i="2"/>
  <c r="G153" i="2"/>
  <c r="I161" i="2"/>
  <c r="H157" i="2"/>
  <c r="D145" i="2"/>
  <c r="F149" i="2"/>
  <c r="E145" i="2"/>
  <c r="J165" i="2"/>
  <c r="D170" i="2"/>
  <c r="E170" i="2"/>
  <c r="G38" i="2"/>
  <c r="E38" i="2"/>
  <c r="D83" i="2"/>
  <c r="D99" i="2"/>
  <c r="D115" i="2"/>
  <c r="N164" i="2"/>
  <c r="P172" i="2"/>
  <c r="L156" i="2"/>
  <c r="K152" i="2"/>
  <c r="G136" i="2"/>
  <c r="J148" i="2"/>
  <c r="F132" i="2"/>
  <c r="O168" i="2"/>
  <c r="I144" i="2"/>
  <c r="E128" i="2"/>
  <c r="D128" i="2"/>
  <c r="M160" i="2"/>
  <c r="H140" i="2"/>
  <c r="J164" i="2"/>
  <c r="L172" i="2"/>
  <c r="H156" i="2"/>
  <c r="K168" i="2"/>
  <c r="I160" i="2"/>
  <c r="F148" i="2"/>
  <c r="G152" i="2"/>
  <c r="E144" i="2"/>
  <c r="D144" i="2"/>
  <c r="F172" i="2"/>
  <c r="D168" i="2"/>
  <c r="E168" i="2"/>
  <c r="E167" i="2"/>
  <c r="F171" i="2"/>
  <c r="D167" i="2"/>
  <c r="G169" i="2"/>
  <c r="E161" i="2"/>
  <c r="D161" i="2"/>
  <c r="F165" i="2"/>
  <c r="L159" i="1"/>
  <c r="H143" i="1"/>
  <c r="O171" i="1"/>
  <c r="K155" i="1"/>
  <c r="G139" i="1"/>
  <c r="N167" i="1"/>
  <c r="J151" i="1"/>
  <c r="F135" i="1"/>
  <c r="I147" i="1"/>
  <c r="D131" i="1"/>
  <c r="M163" i="1"/>
  <c r="E131" i="1"/>
  <c r="J157" i="1"/>
  <c r="F141" i="1"/>
  <c r="M169" i="1"/>
  <c r="I153" i="1"/>
  <c r="E137" i="1"/>
  <c r="L165" i="1"/>
  <c r="H149" i="1"/>
  <c r="D137" i="1"/>
  <c r="G145" i="1"/>
  <c r="K161" i="1"/>
  <c r="E35" i="1"/>
  <c r="G35" i="1"/>
  <c r="E43" i="1"/>
  <c r="G43" i="1"/>
  <c r="O166" i="1"/>
  <c r="K150" i="1"/>
  <c r="G134" i="1"/>
  <c r="N162" i="1"/>
  <c r="J146" i="1"/>
  <c r="M158" i="1"/>
  <c r="I142" i="1"/>
  <c r="H138" i="1"/>
  <c r="E126" i="1"/>
  <c r="P170" i="1"/>
  <c r="D126" i="1"/>
  <c r="L154" i="1"/>
  <c r="F130" i="1"/>
  <c r="G32" i="1"/>
  <c r="E32" i="1"/>
  <c r="G40" i="1"/>
  <c r="E40" i="1"/>
  <c r="M164" i="1"/>
  <c r="I148" i="1"/>
  <c r="L160" i="1"/>
  <c r="H144" i="1"/>
  <c r="O172" i="1"/>
  <c r="K156" i="1"/>
  <c r="G140" i="1"/>
  <c r="F136" i="1"/>
  <c r="N168" i="1"/>
  <c r="E132" i="1"/>
  <c r="D132" i="1"/>
  <c r="J152" i="1"/>
  <c r="M168" i="1"/>
  <c r="I152" i="1"/>
  <c r="E136" i="1"/>
  <c r="L164" i="1"/>
  <c r="H148" i="1"/>
  <c r="D136" i="1"/>
  <c r="K160" i="1"/>
  <c r="G144" i="1"/>
  <c r="J156" i="1"/>
  <c r="N172" i="1"/>
  <c r="F140" i="1"/>
  <c r="I168" i="1"/>
  <c r="E152" i="1"/>
  <c r="H164" i="1"/>
  <c r="D152" i="1"/>
  <c r="G160" i="1"/>
  <c r="J172" i="1"/>
  <c r="F156" i="1"/>
  <c r="E168" i="1"/>
  <c r="D168" i="1"/>
  <c r="F172" i="1"/>
  <c r="L171" i="1"/>
  <c r="H155" i="1"/>
  <c r="D143" i="1"/>
  <c r="K167" i="1"/>
  <c r="G151" i="1"/>
  <c r="J163" i="1"/>
  <c r="F147" i="1"/>
  <c r="E143" i="1"/>
  <c r="I159" i="1"/>
  <c r="H171" i="1"/>
  <c r="D159" i="1"/>
  <c r="G167" i="1"/>
  <c r="F163" i="1"/>
  <c r="E159" i="1"/>
  <c r="K158" i="1"/>
  <c r="G142" i="1"/>
  <c r="N170" i="1"/>
  <c r="J154" i="1"/>
  <c r="F138" i="1"/>
  <c r="M166" i="1"/>
  <c r="I150" i="1"/>
  <c r="E134" i="1"/>
  <c r="D134" i="1"/>
  <c r="H146" i="1"/>
  <c r="L162" i="1"/>
  <c r="G158" i="1"/>
  <c r="J170" i="1"/>
  <c r="F154" i="1"/>
  <c r="I166" i="1"/>
  <c r="E150" i="1"/>
  <c r="D150" i="1"/>
  <c r="H162" i="1"/>
  <c r="F170" i="1"/>
  <c r="E166" i="1"/>
  <c r="D166" i="1"/>
  <c r="F165" i="1"/>
  <c r="E161" i="1"/>
  <c r="D161" i="1"/>
  <c r="G169" i="1"/>
  <c r="F157" i="1"/>
  <c r="I169" i="1"/>
  <c r="E153" i="1"/>
  <c r="H165" i="1"/>
  <c r="D153" i="1"/>
  <c r="G161" i="1"/>
  <c r="E37" i="1"/>
  <c r="G37" i="1"/>
  <c r="D84" i="1"/>
  <c r="D108" i="1"/>
  <c r="O170" i="1"/>
  <c r="K154" i="1"/>
  <c r="G138" i="1"/>
  <c r="N166" i="1"/>
  <c r="J150" i="1"/>
  <c r="F134" i="1"/>
  <c r="M162" i="1"/>
  <c r="I146" i="1"/>
  <c r="L158" i="1"/>
  <c r="E130" i="1"/>
  <c r="H142" i="1"/>
  <c r="D130" i="1"/>
  <c r="G34" i="1"/>
  <c r="E34" i="1"/>
  <c r="G42" i="1"/>
  <c r="E42" i="1"/>
  <c r="N169" i="1"/>
  <c r="J153" i="1"/>
  <c r="F137" i="1"/>
  <c r="M165" i="1"/>
  <c r="I149" i="1"/>
  <c r="E133" i="1"/>
  <c r="L161" i="1"/>
  <c r="H145" i="1"/>
  <c r="D133" i="1"/>
  <c r="K157" i="1"/>
  <c r="G141" i="1"/>
  <c r="M172" i="1"/>
  <c r="I156" i="1"/>
  <c r="E140" i="1"/>
  <c r="L168" i="1"/>
  <c r="H152" i="1"/>
  <c r="D140" i="1"/>
  <c r="K164" i="1"/>
  <c r="G148" i="1"/>
  <c r="F144" i="1"/>
  <c r="J160" i="1"/>
  <c r="I172" i="1"/>
  <c r="E156" i="1"/>
  <c r="H168" i="1"/>
  <c r="D156" i="1"/>
  <c r="G164" i="1"/>
  <c r="F160" i="1"/>
  <c r="E172" i="1"/>
  <c r="D172" i="1"/>
  <c r="H159" i="1"/>
  <c r="D147" i="1"/>
  <c r="K171" i="1"/>
  <c r="G155" i="1"/>
  <c r="J167" i="1"/>
  <c r="F151" i="1"/>
  <c r="I163" i="1"/>
  <c r="E147" i="1"/>
  <c r="D163" i="1"/>
  <c r="G171" i="1"/>
  <c r="F167" i="1"/>
  <c r="E163" i="1"/>
  <c r="K162" i="1"/>
  <c r="G146" i="1"/>
  <c r="J158" i="1"/>
  <c r="F142" i="1"/>
  <c r="M170" i="1"/>
  <c r="I154" i="1"/>
  <c r="E138" i="1"/>
  <c r="L166" i="1"/>
  <c r="D138" i="1"/>
  <c r="H150" i="1"/>
  <c r="G162" i="1"/>
  <c r="F158" i="1"/>
  <c r="I170" i="1"/>
  <c r="E154" i="1"/>
  <c r="H166" i="1"/>
  <c r="D154" i="1"/>
  <c r="E170" i="1"/>
  <c r="D170" i="1"/>
  <c r="N161" i="1"/>
  <c r="J145" i="1"/>
  <c r="M157" i="1"/>
  <c r="I141" i="1"/>
  <c r="P169" i="1"/>
  <c r="L153" i="1"/>
  <c r="H137" i="1"/>
  <c r="D125" i="1"/>
  <c r="K149" i="1"/>
  <c r="F129" i="1"/>
  <c r="G133" i="1"/>
  <c r="O165" i="1"/>
  <c r="E125" i="1"/>
  <c r="E169" i="1"/>
  <c r="D169" i="1"/>
  <c r="J165" i="1"/>
  <c r="F149" i="1"/>
  <c r="I161" i="1"/>
  <c r="E145" i="1"/>
  <c r="H157" i="1"/>
  <c r="D145" i="1"/>
  <c r="G153" i="1"/>
  <c r="K169" i="1"/>
  <c r="E39" i="1"/>
  <c r="G39" i="1"/>
  <c r="J161" i="1"/>
  <c r="F145" i="1"/>
  <c r="I157" i="1"/>
  <c r="E141" i="1"/>
  <c r="L169" i="1"/>
  <c r="H153" i="1"/>
  <c r="D141" i="1"/>
  <c r="K165" i="1"/>
  <c r="G149" i="1"/>
  <c r="G36" i="1"/>
  <c r="E36" i="1"/>
  <c r="D96" i="1"/>
  <c r="M156" i="1"/>
  <c r="I140" i="1"/>
  <c r="P168" i="1"/>
  <c r="L152" i="1"/>
  <c r="H136" i="1"/>
  <c r="O164" i="1"/>
  <c r="K148" i="1"/>
  <c r="G132" i="1"/>
  <c r="N160" i="1"/>
  <c r="E124" i="1"/>
  <c r="J144" i="1"/>
  <c r="F128" i="1"/>
  <c r="D124" i="1"/>
  <c r="J169" i="1"/>
  <c r="F153" i="1"/>
  <c r="I165" i="1"/>
  <c r="E149" i="1"/>
  <c r="H161" i="1"/>
  <c r="D149" i="1"/>
  <c r="G157" i="1"/>
  <c r="I160" i="1"/>
  <c r="E144" i="1"/>
  <c r="L172" i="1"/>
  <c r="H156" i="1"/>
  <c r="D144" i="1"/>
  <c r="K168" i="1"/>
  <c r="G152" i="1"/>
  <c r="J164" i="1"/>
  <c r="F148" i="1"/>
  <c r="E160" i="1"/>
  <c r="H172" i="1"/>
  <c r="D160" i="1"/>
  <c r="G168" i="1"/>
  <c r="F164" i="1"/>
  <c r="L163" i="1"/>
  <c r="H147" i="1"/>
  <c r="D135" i="1"/>
  <c r="K159" i="1"/>
  <c r="G143" i="1"/>
  <c r="N171" i="1"/>
  <c r="J155" i="1"/>
  <c r="F139" i="1"/>
  <c r="E135" i="1"/>
  <c r="M167" i="1"/>
  <c r="I151" i="1"/>
  <c r="H163" i="1"/>
  <c r="D151" i="1"/>
  <c r="G159" i="1"/>
  <c r="J171" i="1"/>
  <c r="F155" i="1"/>
  <c r="E151" i="1"/>
  <c r="I167" i="1"/>
  <c r="D167" i="1"/>
  <c r="F171" i="1"/>
  <c r="E167" i="1"/>
  <c r="K166" i="1"/>
  <c r="G150" i="1"/>
  <c r="J162" i="1"/>
  <c r="F146" i="1"/>
  <c r="I158" i="1"/>
  <c r="E142" i="1"/>
  <c r="H154" i="1"/>
  <c r="D142" i="1"/>
  <c r="L170" i="1"/>
  <c r="G166" i="1"/>
  <c r="F162" i="1"/>
  <c r="E158" i="1"/>
  <c r="H170" i="1"/>
  <c r="D158" i="1"/>
  <c r="P171" i="1"/>
  <c r="L155" i="1"/>
  <c r="H139" i="1"/>
  <c r="O167" i="1"/>
  <c r="K151" i="1"/>
  <c r="G135" i="1"/>
  <c r="N163" i="1"/>
  <c r="J147" i="1"/>
  <c r="M159" i="1"/>
  <c r="F131" i="1"/>
  <c r="D127" i="1"/>
  <c r="I143" i="1"/>
  <c r="E127" i="1"/>
  <c r="N165" i="1"/>
  <c r="J149" i="1"/>
  <c r="F133" i="1"/>
  <c r="M161" i="1"/>
  <c r="I145" i="1"/>
  <c r="L157" i="1"/>
  <c r="H141" i="1"/>
  <c r="G137" i="1"/>
  <c r="D129" i="1"/>
  <c r="O169" i="1"/>
  <c r="K153" i="1"/>
  <c r="E129" i="1"/>
  <c r="E33" i="1"/>
  <c r="G33" i="1"/>
  <c r="E41" i="1"/>
  <c r="G41" i="1"/>
  <c r="F161" i="1"/>
  <c r="E157" i="1"/>
  <c r="H169" i="1"/>
  <c r="D157" i="1"/>
  <c r="G165" i="1"/>
  <c r="G38" i="1"/>
  <c r="E38" i="1"/>
  <c r="M160" i="1"/>
  <c r="I144" i="1"/>
  <c r="P172" i="1"/>
  <c r="L156" i="1"/>
  <c r="H140" i="1"/>
  <c r="O168" i="1"/>
  <c r="K152" i="1"/>
  <c r="G136" i="1"/>
  <c r="J148" i="1"/>
  <c r="E128" i="1"/>
  <c r="N164" i="1"/>
  <c r="F132" i="1"/>
  <c r="D128" i="1"/>
  <c r="F169" i="1"/>
  <c r="E165" i="1"/>
  <c r="D165" i="1"/>
  <c r="I164" i="1"/>
  <c r="E148" i="1"/>
  <c r="H160" i="1"/>
  <c r="D148" i="1"/>
  <c r="K172" i="1"/>
  <c r="G156" i="1"/>
  <c r="F152" i="1"/>
  <c r="J168" i="1"/>
  <c r="E164" i="1"/>
  <c r="D164" i="1"/>
  <c r="G172" i="1"/>
  <c r="F168" i="1"/>
  <c r="L167" i="1"/>
  <c r="H151" i="1"/>
  <c r="D139" i="1"/>
  <c r="K163" i="1"/>
  <c r="G147" i="1"/>
  <c r="J159" i="1"/>
  <c r="F143" i="1"/>
  <c r="I155" i="1"/>
  <c r="M171" i="1"/>
  <c r="E139" i="1"/>
  <c r="H167" i="1"/>
  <c r="D155" i="1"/>
  <c r="G163" i="1"/>
  <c r="F159" i="1"/>
  <c r="I171" i="1"/>
  <c r="E155" i="1"/>
  <c r="D171" i="1"/>
  <c r="E171" i="1"/>
  <c r="K170" i="1"/>
  <c r="G154" i="1"/>
  <c r="J166" i="1"/>
  <c r="F150" i="1"/>
  <c r="I162" i="1"/>
  <c r="E146" i="1"/>
  <c r="H158" i="1"/>
  <c r="D146" i="1"/>
  <c r="G170" i="1"/>
  <c r="F166" i="1"/>
  <c r="E162" i="1"/>
  <c r="D162" i="1"/>
  <c r="H41" i="2" l="1"/>
  <c r="H35" i="2"/>
  <c r="H39" i="2"/>
  <c r="H37" i="2"/>
  <c r="D97" i="1"/>
  <c r="D77" i="1"/>
  <c r="D121" i="1"/>
  <c r="D93" i="1"/>
  <c r="D114" i="1"/>
  <c r="D111" i="1"/>
  <c r="D115" i="1"/>
  <c r="D110" i="1"/>
  <c r="D103" i="1"/>
  <c r="D120" i="1"/>
  <c r="D117" i="1"/>
  <c r="D107" i="1"/>
  <c r="D106" i="1"/>
  <c r="D95" i="1"/>
  <c r="D116" i="1"/>
  <c r="D119" i="1"/>
  <c r="D101" i="1"/>
  <c r="D89" i="1"/>
  <c r="D82" i="1"/>
  <c r="D74" i="1"/>
  <c r="D75" i="1"/>
  <c r="D87" i="1"/>
  <c r="D99" i="1"/>
  <c r="D94" i="1"/>
  <c r="D105" i="1"/>
  <c r="D109" i="1"/>
  <c r="D76" i="1"/>
  <c r="D123" i="1"/>
  <c r="D104" i="1"/>
  <c r="D100" i="1"/>
  <c r="D85" i="1"/>
  <c r="D98" i="1"/>
  <c r="D113" i="1"/>
  <c r="D81" i="1"/>
  <c r="D80" i="1"/>
  <c r="D86" i="1"/>
  <c r="D79" i="1"/>
  <c r="D83" i="1"/>
  <c r="D122" i="1"/>
  <c r="D90" i="1"/>
  <c r="D78" i="1"/>
  <c r="D112" i="1"/>
  <c r="D102" i="1"/>
  <c r="D88" i="1"/>
  <c r="D92" i="1"/>
  <c r="Q168" i="2"/>
  <c r="H38" i="2"/>
  <c r="H36" i="2"/>
  <c r="H42" i="2"/>
  <c r="H32" i="2"/>
  <c r="I32" i="2" s="1"/>
  <c r="J38" i="2" s="1"/>
  <c r="Q170" i="2"/>
  <c r="H42" i="1"/>
  <c r="H35" i="1"/>
  <c r="H37" i="1"/>
  <c r="H43" i="1"/>
  <c r="Q170" i="1"/>
  <c r="H34" i="2"/>
  <c r="H40" i="2"/>
  <c r="H41" i="1"/>
  <c r="I42" i="1" s="1"/>
  <c r="J43" i="1" s="1"/>
  <c r="H36" i="1"/>
  <c r="I36" i="1" s="1"/>
  <c r="J40" i="1" s="1"/>
  <c r="Q169" i="1"/>
  <c r="Q168" i="1"/>
  <c r="H32" i="1"/>
  <c r="I32" i="1" s="1"/>
  <c r="J38" i="1" s="1"/>
  <c r="Q169" i="2"/>
  <c r="Q172" i="1"/>
  <c r="G3" i="11"/>
  <c r="F4" i="11"/>
  <c r="F5" i="11" s="1"/>
  <c r="Q171" i="2"/>
  <c r="Q171" i="1"/>
  <c r="H38" i="1"/>
  <c r="H33" i="1"/>
  <c r="H39" i="1"/>
  <c r="H34" i="1"/>
  <c r="H40" i="1"/>
  <c r="Q172" i="2"/>
  <c r="H43" i="2"/>
  <c r="H33" i="2"/>
  <c r="I41" i="2" l="1"/>
  <c r="J33" i="2" s="1"/>
  <c r="I38" i="2"/>
  <c r="J41" i="2" s="1"/>
  <c r="I33" i="2"/>
  <c r="J37" i="2" s="1"/>
  <c r="I43" i="2"/>
  <c r="J32" i="2" s="1"/>
  <c r="I39" i="2"/>
  <c r="J34" i="2" s="1"/>
  <c r="I35" i="2"/>
  <c r="J36" i="2" s="1"/>
  <c r="I42" i="2"/>
  <c r="J43" i="2" s="1"/>
  <c r="I36" i="2"/>
  <c r="J40" i="2" s="1"/>
  <c r="I37" i="2"/>
  <c r="J35" i="2" s="1"/>
  <c r="I40" i="2"/>
  <c r="J42" i="2" s="1"/>
  <c r="I38" i="1"/>
  <c r="J41" i="1" s="1"/>
  <c r="I33" i="1"/>
  <c r="J37" i="1" s="1"/>
  <c r="I43" i="1"/>
  <c r="J32" i="1" s="1"/>
  <c r="K32" i="1" s="1"/>
  <c r="L32" i="1" s="1"/>
  <c r="M32" i="1" s="1"/>
  <c r="N32" i="1" s="1"/>
  <c r="O32" i="1" s="1"/>
  <c r="P32" i="1" s="1"/>
  <c r="E73" i="1" s="1"/>
  <c r="I40" i="1"/>
  <c r="J42" i="1" s="1"/>
  <c r="I34" i="1"/>
  <c r="J39" i="1" s="1"/>
  <c r="I41" i="1"/>
  <c r="J33" i="1" s="1"/>
  <c r="I37" i="1"/>
  <c r="J35" i="1" s="1"/>
  <c r="I35" i="1"/>
  <c r="J36" i="1" s="1"/>
  <c r="H3" i="11"/>
  <c r="G4" i="11"/>
  <c r="G5" i="11" s="1"/>
  <c r="K32" i="2"/>
  <c r="L32" i="2" s="1"/>
  <c r="M32" i="2" s="1"/>
  <c r="N32" i="2" s="1"/>
  <c r="O32" i="2" s="1"/>
  <c r="P32" i="2" s="1"/>
  <c r="I39" i="1"/>
  <c r="J34" i="1" s="1"/>
  <c r="I34" i="2"/>
  <c r="J39" i="2" s="1"/>
  <c r="E73" i="2" l="1"/>
  <c r="E87" i="2" s="1"/>
  <c r="E113" i="1"/>
  <c r="E79" i="1"/>
  <c r="E111" i="1"/>
  <c r="E107" i="1"/>
  <c r="E117" i="1"/>
  <c r="E119" i="1"/>
  <c r="E76" i="1"/>
  <c r="Q76" i="1" s="1"/>
  <c r="E93" i="1"/>
  <c r="E80" i="1"/>
  <c r="E112" i="1"/>
  <c r="E82" i="1"/>
  <c r="E91" i="1"/>
  <c r="E98" i="1"/>
  <c r="E97" i="1"/>
  <c r="E84" i="1"/>
  <c r="E100" i="1"/>
  <c r="E116" i="1"/>
  <c r="E88" i="1"/>
  <c r="E123" i="1"/>
  <c r="E74" i="1"/>
  <c r="Q74" i="1" s="1"/>
  <c r="E86" i="1"/>
  <c r="E109" i="1"/>
  <c r="E103" i="1"/>
  <c r="E94" i="1"/>
  <c r="E110" i="1"/>
  <c r="E114" i="1"/>
  <c r="E89" i="1"/>
  <c r="E75" i="1"/>
  <c r="Q75" i="1" s="1"/>
  <c r="E92" i="1"/>
  <c r="E120" i="1"/>
  <c r="E102" i="1"/>
  <c r="E118" i="1"/>
  <c r="E96" i="1"/>
  <c r="E105" i="1"/>
  <c r="E87" i="1"/>
  <c r="E85" i="1"/>
  <c r="E101" i="1"/>
  <c r="E121" i="1"/>
  <c r="E108" i="1"/>
  <c r="E104" i="1"/>
  <c r="E95" i="1"/>
  <c r="E78" i="1"/>
  <c r="E81" i="1"/>
  <c r="E77" i="1"/>
  <c r="Q77" i="1" s="1"/>
  <c r="E90" i="1"/>
  <c r="E106" i="1"/>
  <c r="E122" i="1"/>
  <c r="E83" i="1"/>
  <c r="E99" i="1"/>
  <c r="E115" i="1"/>
  <c r="H4" i="11"/>
  <c r="H5" i="11" s="1"/>
  <c r="I3" i="11"/>
  <c r="K33" i="1"/>
  <c r="L33" i="1" s="1"/>
  <c r="M33" i="1" s="1"/>
  <c r="N33" i="1" s="1"/>
  <c r="O33" i="1" s="1"/>
  <c r="P33" i="1" s="1"/>
  <c r="F73" i="1" s="1"/>
  <c r="K33" i="2"/>
  <c r="E106" i="2" l="1"/>
  <c r="E113" i="2"/>
  <c r="E92" i="2"/>
  <c r="E95" i="2"/>
  <c r="E107" i="2"/>
  <c r="E85" i="2"/>
  <c r="E114" i="2"/>
  <c r="E82" i="2"/>
  <c r="E86" i="2"/>
  <c r="E103" i="2"/>
  <c r="E120" i="2"/>
  <c r="E77" i="2"/>
  <c r="Q77" i="2" s="1"/>
  <c r="E110" i="2"/>
  <c r="E121" i="2"/>
  <c r="E96" i="2"/>
  <c r="E90" i="2"/>
  <c r="E78" i="2"/>
  <c r="E98" i="2"/>
  <c r="E111" i="2"/>
  <c r="E79" i="2"/>
  <c r="E75" i="2"/>
  <c r="Q75" i="2" s="1"/>
  <c r="E118" i="2"/>
  <c r="E109" i="2"/>
  <c r="E116" i="2"/>
  <c r="E88" i="2"/>
  <c r="E102" i="2"/>
  <c r="E97" i="2"/>
  <c r="E100" i="2"/>
  <c r="E89" i="2"/>
  <c r="E99" i="2"/>
  <c r="E119" i="2"/>
  <c r="E112" i="2"/>
  <c r="E81" i="2"/>
  <c r="E80" i="2"/>
  <c r="E104" i="2"/>
  <c r="E115" i="2"/>
  <c r="E123" i="2"/>
  <c r="E84" i="2"/>
  <c r="E101" i="2"/>
  <c r="E76" i="2"/>
  <c r="Q76" i="2" s="1"/>
  <c r="E94" i="2"/>
  <c r="E83" i="2"/>
  <c r="E91" i="2"/>
  <c r="E117" i="2"/>
  <c r="E105" i="2"/>
  <c r="E93" i="2"/>
  <c r="E108" i="2"/>
  <c r="E122" i="2"/>
  <c r="E74" i="2"/>
  <c r="Q74" i="2" s="1"/>
  <c r="F125" i="1"/>
  <c r="F101" i="1"/>
  <c r="F79" i="1"/>
  <c r="Q79" i="1" s="1"/>
  <c r="F96" i="1"/>
  <c r="F108" i="1"/>
  <c r="F113" i="1"/>
  <c r="F82" i="1"/>
  <c r="F94" i="1"/>
  <c r="F114" i="1"/>
  <c r="F83" i="1"/>
  <c r="F95" i="1"/>
  <c r="F102" i="1"/>
  <c r="F93" i="1"/>
  <c r="F104" i="1"/>
  <c r="F78" i="1"/>
  <c r="Q78" i="1" s="1"/>
  <c r="F106" i="1"/>
  <c r="F84" i="1"/>
  <c r="F116" i="1"/>
  <c r="F126" i="1"/>
  <c r="F87" i="1"/>
  <c r="F119" i="1"/>
  <c r="F115" i="1"/>
  <c r="F91" i="1"/>
  <c r="F86" i="1"/>
  <c r="F111" i="1"/>
  <c r="F89" i="1"/>
  <c r="F105" i="1"/>
  <c r="F127" i="1"/>
  <c r="F90" i="1"/>
  <c r="F107" i="1"/>
  <c r="F109" i="1"/>
  <c r="F85" i="1"/>
  <c r="F81" i="1"/>
  <c r="Q81" i="1" s="1"/>
  <c r="F98" i="1"/>
  <c r="F117" i="1"/>
  <c r="F118" i="1"/>
  <c r="F121" i="1"/>
  <c r="F123" i="1"/>
  <c r="F88" i="1"/>
  <c r="F112" i="1"/>
  <c r="F120" i="1"/>
  <c r="F92" i="1"/>
  <c r="F124" i="1"/>
  <c r="F99" i="1"/>
  <c r="F80" i="1"/>
  <c r="Q80" i="1" s="1"/>
  <c r="F97" i="1"/>
  <c r="F122" i="1"/>
  <c r="F100" i="1"/>
  <c r="F110" i="1"/>
  <c r="F103" i="1"/>
  <c r="I4" i="11"/>
  <c r="I5" i="11" s="1"/>
  <c r="J3" i="11"/>
  <c r="L33" i="2"/>
  <c r="M33" i="2" s="1"/>
  <c r="N33" i="2" s="1"/>
  <c r="O33" i="2" s="1"/>
  <c r="P33" i="2" s="1"/>
  <c r="K34" i="2"/>
  <c r="K34" i="1"/>
  <c r="F73" i="2" l="1"/>
  <c r="F91" i="2" s="1"/>
  <c r="L34" i="1"/>
  <c r="M34" i="1" s="1"/>
  <c r="N34" i="1" s="1"/>
  <c r="O34" i="1" s="1"/>
  <c r="P34" i="1" s="1"/>
  <c r="G73" i="1" s="1"/>
  <c r="K35" i="1"/>
  <c r="L34" i="2"/>
  <c r="M34" i="2" s="1"/>
  <c r="N34" i="2" s="1"/>
  <c r="O34" i="2" s="1"/>
  <c r="P34" i="2" s="1"/>
  <c r="G73" i="2" s="1"/>
  <c r="K35" i="2"/>
  <c r="K3" i="11"/>
  <c r="K4" i="11" s="1"/>
  <c r="J4" i="11"/>
  <c r="J5" i="11" s="1"/>
  <c r="F84" i="2" l="1"/>
  <c r="F114" i="2"/>
  <c r="F97" i="2"/>
  <c r="F122" i="2"/>
  <c r="F85" i="2"/>
  <c r="F125" i="2"/>
  <c r="F96" i="2"/>
  <c r="F89" i="2"/>
  <c r="F110" i="2"/>
  <c r="F100" i="2"/>
  <c r="F106" i="2"/>
  <c r="F101" i="2"/>
  <c r="F81" i="2"/>
  <c r="Q81" i="2" s="1"/>
  <c r="F78" i="2"/>
  <c r="Q78" i="2" s="1"/>
  <c r="F92" i="2"/>
  <c r="F116" i="2"/>
  <c r="F87" i="2"/>
  <c r="F79" i="2"/>
  <c r="Q79" i="2" s="1"/>
  <c r="F104" i="2"/>
  <c r="F80" i="2"/>
  <c r="Q80" i="2" s="1"/>
  <c r="F90" i="2"/>
  <c r="F112" i="2"/>
  <c r="F95" i="2"/>
  <c r="F82" i="2"/>
  <c r="F111" i="2"/>
  <c r="F123" i="2"/>
  <c r="F105" i="2"/>
  <c r="F126" i="2"/>
  <c r="F88" i="2"/>
  <c r="F115" i="2"/>
  <c r="F113" i="2"/>
  <c r="F102" i="2"/>
  <c r="F107" i="2"/>
  <c r="F120" i="2"/>
  <c r="F103" i="2"/>
  <c r="F98" i="2"/>
  <c r="F127" i="2"/>
  <c r="F124" i="2"/>
  <c r="F108" i="2"/>
  <c r="F119" i="2"/>
  <c r="F99" i="2"/>
  <c r="F93" i="2"/>
  <c r="F109" i="2"/>
  <c r="F118" i="2"/>
  <c r="F94" i="2"/>
  <c r="F117" i="2"/>
  <c r="F86" i="2"/>
  <c r="F121" i="2"/>
  <c r="F83" i="2"/>
  <c r="L35" i="1"/>
  <c r="M35" i="1" s="1"/>
  <c r="N35" i="1" s="1"/>
  <c r="O35" i="1" s="1"/>
  <c r="P35" i="1" s="1"/>
  <c r="H73" i="1" s="1"/>
  <c r="K36" i="1"/>
  <c r="G90" i="1"/>
  <c r="G99" i="1"/>
  <c r="G124" i="1"/>
  <c r="G112" i="1"/>
  <c r="G94" i="1"/>
  <c r="G110" i="1"/>
  <c r="G111" i="1"/>
  <c r="G102" i="1"/>
  <c r="G93" i="1"/>
  <c r="G109" i="1"/>
  <c r="G127" i="1"/>
  <c r="G97" i="1"/>
  <c r="G83" i="1"/>
  <c r="Q83" i="1" s="1"/>
  <c r="G100" i="1"/>
  <c r="G116" i="1"/>
  <c r="G128" i="1"/>
  <c r="G88" i="1"/>
  <c r="G113" i="1"/>
  <c r="G89" i="1"/>
  <c r="G85" i="1"/>
  <c r="Q85" i="1" s="1"/>
  <c r="G130" i="1"/>
  <c r="G121" i="1"/>
  <c r="G87" i="1"/>
  <c r="G95" i="1"/>
  <c r="G125" i="1"/>
  <c r="G129" i="1"/>
  <c r="G96" i="1"/>
  <c r="G131" i="1"/>
  <c r="G103" i="1"/>
  <c r="G101" i="1"/>
  <c r="G120" i="1"/>
  <c r="G86" i="1"/>
  <c r="G98" i="1"/>
  <c r="G114" i="1"/>
  <c r="G91" i="1"/>
  <c r="G107" i="1"/>
  <c r="G119" i="1"/>
  <c r="G106" i="1"/>
  <c r="G115" i="1"/>
  <c r="G122" i="1"/>
  <c r="G105" i="1"/>
  <c r="G92" i="1"/>
  <c r="G108" i="1"/>
  <c r="G82" i="1"/>
  <c r="Q82" i="1" s="1"/>
  <c r="G84" i="1"/>
  <c r="Q84" i="1" s="1"/>
  <c r="G117" i="1"/>
  <c r="G126" i="1"/>
  <c r="G104" i="1"/>
  <c r="G118" i="1"/>
  <c r="G123" i="1"/>
  <c r="L35" i="2"/>
  <c r="M35" i="2" s="1"/>
  <c r="N35" i="2" s="1"/>
  <c r="O35" i="2" s="1"/>
  <c r="P35" i="2" s="1"/>
  <c r="H73" i="2" s="1"/>
  <c r="K36" i="2"/>
  <c r="K5" i="11"/>
  <c r="G101" i="2"/>
  <c r="G110" i="2"/>
  <c r="G119" i="2"/>
  <c r="G131" i="2"/>
  <c r="G98" i="2"/>
  <c r="G130" i="2"/>
  <c r="G96" i="2"/>
  <c r="G111" i="2"/>
  <c r="G88" i="2"/>
  <c r="G100" i="2"/>
  <c r="G82" i="2"/>
  <c r="G85" i="2"/>
  <c r="G93" i="2"/>
  <c r="G109" i="2"/>
  <c r="G89" i="2"/>
  <c r="G102" i="2"/>
  <c r="G129" i="2"/>
  <c r="G112" i="2"/>
  <c r="G83" i="2"/>
  <c r="G106" i="2"/>
  <c r="G104" i="2"/>
  <c r="G108" i="2"/>
  <c r="G127" i="2"/>
  <c r="G105" i="2"/>
  <c r="G94" i="2"/>
  <c r="G117" i="2"/>
  <c r="G125" i="2"/>
  <c r="G114" i="2"/>
  <c r="G97" i="2"/>
  <c r="G99" i="2"/>
  <c r="G122" i="2"/>
  <c r="G120" i="2"/>
  <c r="G121" i="2"/>
  <c r="G84" i="2"/>
  <c r="G124" i="2"/>
  <c r="G113" i="2"/>
  <c r="G126" i="2"/>
  <c r="G87" i="2"/>
  <c r="G86" i="2"/>
  <c r="G118" i="2"/>
  <c r="G128" i="2"/>
  <c r="G90" i="2"/>
  <c r="G115" i="2"/>
  <c r="G103" i="2"/>
  <c r="G95" i="2"/>
  <c r="G92" i="2"/>
  <c r="G116" i="2"/>
  <c r="G91" i="2"/>
  <c r="G107" i="2"/>
  <c r="G123" i="2"/>
  <c r="Q84" i="2" l="1"/>
  <c r="Q82" i="2"/>
  <c r="Q85" i="2"/>
  <c r="Q83" i="2"/>
  <c r="H89" i="2"/>
  <c r="Q89" i="2" s="1"/>
  <c r="H114" i="2"/>
  <c r="H130" i="2"/>
  <c r="H91" i="2"/>
  <c r="H123" i="2"/>
  <c r="H97" i="2"/>
  <c r="H113" i="2"/>
  <c r="H129" i="2"/>
  <c r="H93" i="2"/>
  <c r="H102" i="2"/>
  <c r="H101" i="2"/>
  <c r="H116" i="2"/>
  <c r="H87" i="2"/>
  <c r="Q87" i="2" s="1"/>
  <c r="H125" i="2"/>
  <c r="H112" i="2"/>
  <c r="H127" i="2"/>
  <c r="H86" i="2"/>
  <c r="Q86" i="2" s="1"/>
  <c r="H109" i="2"/>
  <c r="H121" i="2"/>
  <c r="H106" i="2"/>
  <c r="H134" i="2"/>
  <c r="H133" i="2"/>
  <c r="H132" i="2"/>
  <c r="H103" i="2"/>
  <c r="H110" i="2"/>
  <c r="H107" i="2"/>
  <c r="H88" i="2"/>
  <c r="Q88" i="2" s="1"/>
  <c r="H120" i="2"/>
  <c r="H117" i="2"/>
  <c r="H95" i="2"/>
  <c r="H111" i="2"/>
  <c r="H131" i="2"/>
  <c r="H98" i="2"/>
  <c r="H135" i="2"/>
  <c r="H118" i="2"/>
  <c r="H115" i="2"/>
  <c r="H119" i="2"/>
  <c r="H92" i="2"/>
  <c r="H124" i="2"/>
  <c r="H99" i="2"/>
  <c r="H96" i="2"/>
  <c r="H128" i="2"/>
  <c r="H105" i="2"/>
  <c r="H90" i="2"/>
  <c r="H122" i="2"/>
  <c r="H100" i="2"/>
  <c r="H94" i="2"/>
  <c r="H126" i="2"/>
  <c r="H108" i="2"/>
  <c r="H104" i="2"/>
  <c r="H91" i="1"/>
  <c r="H103" i="1"/>
  <c r="H126" i="1"/>
  <c r="H97" i="1"/>
  <c r="H113" i="1"/>
  <c r="H101" i="1"/>
  <c r="H112" i="1"/>
  <c r="H132" i="1"/>
  <c r="H135" i="1"/>
  <c r="H86" i="1"/>
  <c r="Q86" i="1" s="1"/>
  <c r="H124" i="1"/>
  <c r="H93" i="1"/>
  <c r="H89" i="1"/>
  <c r="Q89" i="1" s="1"/>
  <c r="H118" i="1"/>
  <c r="H122" i="1"/>
  <c r="H134" i="1"/>
  <c r="H95" i="1"/>
  <c r="H94" i="1"/>
  <c r="H119" i="1"/>
  <c r="H131" i="1"/>
  <c r="H133" i="1"/>
  <c r="H120" i="1"/>
  <c r="H98" i="1"/>
  <c r="H105" i="1"/>
  <c r="H130" i="1"/>
  <c r="H117" i="1"/>
  <c r="H125" i="1"/>
  <c r="H99" i="1"/>
  <c r="H110" i="1"/>
  <c r="H129" i="1"/>
  <c r="H109" i="1"/>
  <c r="H96" i="1"/>
  <c r="H128" i="1"/>
  <c r="H100" i="1"/>
  <c r="H107" i="1"/>
  <c r="H88" i="1"/>
  <c r="Q88" i="1" s="1"/>
  <c r="H114" i="1"/>
  <c r="H121" i="1"/>
  <c r="H108" i="1"/>
  <c r="H111" i="1"/>
  <c r="H127" i="1"/>
  <c r="H123" i="1"/>
  <c r="H87" i="1"/>
  <c r="Q87" i="1" s="1"/>
  <c r="H104" i="1"/>
  <c r="H116" i="1"/>
  <c r="H92" i="1"/>
  <c r="H115" i="1"/>
  <c r="H90" i="1"/>
  <c r="H102" i="1"/>
  <c r="H106" i="1"/>
  <c r="L36" i="2"/>
  <c r="M36" i="2" s="1"/>
  <c r="N36" i="2" s="1"/>
  <c r="O36" i="2" s="1"/>
  <c r="P36" i="2" s="1"/>
  <c r="K37" i="2"/>
  <c r="L36" i="1"/>
  <c r="M36" i="1" s="1"/>
  <c r="N36" i="1" s="1"/>
  <c r="O36" i="1" s="1"/>
  <c r="P36" i="1" s="1"/>
  <c r="I73" i="1" s="1"/>
  <c r="K37" i="1"/>
  <c r="I73" i="2" l="1"/>
  <c r="I108" i="2" s="1"/>
  <c r="I98" i="1"/>
  <c r="I114" i="1"/>
  <c r="I123" i="1"/>
  <c r="I91" i="1"/>
  <c r="Q91" i="1" s="1"/>
  <c r="I100" i="1"/>
  <c r="I116" i="1"/>
  <c r="I124" i="1"/>
  <c r="I104" i="1"/>
  <c r="I90" i="1"/>
  <c r="Q90" i="1" s="1"/>
  <c r="I102" i="1"/>
  <c r="I109" i="1"/>
  <c r="I134" i="1"/>
  <c r="I121" i="1"/>
  <c r="I110" i="1"/>
  <c r="I126" i="1"/>
  <c r="I129" i="1"/>
  <c r="I95" i="1"/>
  <c r="I127" i="1"/>
  <c r="I103" i="1"/>
  <c r="I130" i="1"/>
  <c r="I113" i="1"/>
  <c r="I108" i="1"/>
  <c r="I139" i="1"/>
  <c r="I111" i="1"/>
  <c r="I118" i="1"/>
  <c r="I112" i="1"/>
  <c r="I99" i="1"/>
  <c r="I115" i="1"/>
  <c r="I133" i="1"/>
  <c r="I137" i="1"/>
  <c r="I120" i="1"/>
  <c r="I136" i="1"/>
  <c r="I125" i="1"/>
  <c r="I94" i="1"/>
  <c r="I106" i="1"/>
  <c r="I122" i="1"/>
  <c r="I138" i="1"/>
  <c r="I131" i="1"/>
  <c r="I107" i="1"/>
  <c r="I101" i="1"/>
  <c r="I117" i="1"/>
  <c r="I135" i="1"/>
  <c r="I105" i="1"/>
  <c r="I132" i="1"/>
  <c r="I92" i="1"/>
  <c r="Q92" i="1" s="1"/>
  <c r="I96" i="1"/>
  <c r="I128" i="1"/>
  <c r="I119" i="1"/>
  <c r="I97" i="1"/>
  <c r="I93" i="1"/>
  <c r="Q93" i="1" s="1"/>
  <c r="L37" i="2"/>
  <c r="M37" i="2" s="1"/>
  <c r="N37" i="2" s="1"/>
  <c r="O37" i="2" s="1"/>
  <c r="P37" i="2" s="1"/>
  <c r="J73" i="2" s="1"/>
  <c r="K38" i="2"/>
  <c r="L37" i="1"/>
  <c r="M37" i="1" s="1"/>
  <c r="N37" i="1" s="1"/>
  <c r="O37" i="1" s="1"/>
  <c r="P37" i="1" s="1"/>
  <c r="J73" i="1" s="1"/>
  <c r="K38" i="1"/>
  <c r="I100" i="2" l="1"/>
  <c r="I95" i="2"/>
  <c r="I93" i="2"/>
  <c r="Q93" i="2" s="1"/>
  <c r="I102" i="2"/>
  <c r="I90" i="2"/>
  <c r="Q90" i="2" s="1"/>
  <c r="I121" i="2"/>
  <c r="I129" i="2"/>
  <c r="I124" i="2"/>
  <c r="I116" i="2"/>
  <c r="I98" i="2"/>
  <c r="I127" i="2"/>
  <c r="I109" i="2"/>
  <c r="I128" i="2"/>
  <c r="I101" i="2"/>
  <c r="I139" i="2"/>
  <c r="I125" i="2"/>
  <c r="I96" i="2"/>
  <c r="I130" i="2"/>
  <c r="I135" i="2"/>
  <c r="I91" i="2"/>
  <c r="Q91" i="2" s="1"/>
  <c r="I131" i="2"/>
  <c r="I105" i="2"/>
  <c r="I115" i="2"/>
  <c r="I126" i="2"/>
  <c r="I99" i="2"/>
  <c r="I106" i="2"/>
  <c r="I112" i="2"/>
  <c r="I134" i="2"/>
  <c r="I114" i="2"/>
  <c r="I118" i="2"/>
  <c r="I92" i="2"/>
  <c r="Q92" i="2" s="1"/>
  <c r="I107" i="2"/>
  <c r="I113" i="2"/>
  <c r="I119" i="2"/>
  <c r="I103" i="2"/>
  <c r="I104" i="2"/>
  <c r="I136" i="2"/>
  <c r="I111" i="2"/>
  <c r="I137" i="2"/>
  <c r="I94" i="2"/>
  <c r="I123" i="2"/>
  <c r="I110" i="2"/>
  <c r="I97" i="2"/>
  <c r="I120" i="2"/>
  <c r="I133" i="2"/>
  <c r="I138" i="2"/>
  <c r="I132" i="2"/>
  <c r="I117" i="2"/>
  <c r="I122" i="2"/>
  <c r="L38" i="2"/>
  <c r="M38" i="2" s="1"/>
  <c r="N38" i="2" s="1"/>
  <c r="O38" i="2" s="1"/>
  <c r="P38" i="2" s="1"/>
  <c r="K73" i="2" s="1"/>
  <c r="K39" i="2"/>
  <c r="J118" i="1"/>
  <c r="J137" i="1"/>
  <c r="J141" i="1"/>
  <c r="J117" i="1"/>
  <c r="J120" i="1"/>
  <c r="J143" i="1"/>
  <c r="J122" i="1"/>
  <c r="J116" i="1"/>
  <c r="J125" i="1"/>
  <c r="J142" i="1"/>
  <c r="J135" i="1"/>
  <c r="J131" i="1"/>
  <c r="J107" i="1"/>
  <c r="J102" i="1"/>
  <c r="J136" i="1"/>
  <c r="J115" i="1"/>
  <c r="J106" i="1"/>
  <c r="J114" i="1"/>
  <c r="J119" i="1"/>
  <c r="J133" i="1"/>
  <c r="J127" i="1"/>
  <c r="J134" i="1"/>
  <c r="J105" i="1"/>
  <c r="J121" i="1"/>
  <c r="J139" i="1"/>
  <c r="J109" i="1"/>
  <c r="J95" i="1"/>
  <c r="Q95" i="1" s="1"/>
  <c r="J104" i="1"/>
  <c r="J128" i="1"/>
  <c r="J108" i="1"/>
  <c r="J124" i="1"/>
  <c r="J96" i="1"/>
  <c r="Q96" i="1" s="1"/>
  <c r="J138" i="1"/>
  <c r="J123" i="1"/>
  <c r="J101" i="1"/>
  <c r="J97" i="1"/>
  <c r="Q97" i="1" s="1"/>
  <c r="J126" i="1"/>
  <c r="J99" i="1"/>
  <c r="J111" i="1"/>
  <c r="J112" i="1"/>
  <c r="J140" i="1"/>
  <c r="J94" i="1"/>
  <c r="Q94" i="1" s="1"/>
  <c r="J113" i="1"/>
  <c r="J129" i="1"/>
  <c r="J100" i="1"/>
  <c r="J132" i="1"/>
  <c r="J98" i="1"/>
  <c r="J110" i="1"/>
  <c r="J130" i="1"/>
  <c r="J103" i="1"/>
  <c r="J139" i="2"/>
  <c r="J137" i="2"/>
  <c r="J98" i="2"/>
  <c r="J126" i="2"/>
  <c r="J140" i="2"/>
  <c r="J102" i="2"/>
  <c r="J111" i="2"/>
  <c r="J115" i="2"/>
  <c r="J132" i="2"/>
  <c r="J136" i="2"/>
  <c r="J103" i="2"/>
  <c r="J119" i="2"/>
  <c r="J94" i="2"/>
  <c r="J106" i="2"/>
  <c r="J113" i="2"/>
  <c r="J138" i="2"/>
  <c r="J130" i="2"/>
  <c r="J123" i="2"/>
  <c r="J96" i="2"/>
  <c r="J120" i="2"/>
  <c r="J97" i="2"/>
  <c r="J129" i="2"/>
  <c r="J131" i="2"/>
  <c r="J105" i="2"/>
  <c r="J121" i="2"/>
  <c r="J101" i="2"/>
  <c r="J110" i="2"/>
  <c r="J142" i="2"/>
  <c r="J141" i="2"/>
  <c r="J108" i="2"/>
  <c r="J118" i="2"/>
  <c r="J127" i="2"/>
  <c r="J100" i="2"/>
  <c r="J116" i="2"/>
  <c r="J133" i="2"/>
  <c r="J128" i="2"/>
  <c r="J135" i="2"/>
  <c r="J117" i="2"/>
  <c r="J122" i="2"/>
  <c r="J99" i="2"/>
  <c r="J143" i="2"/>
  <c r="J114" i="2"/>
  <c r="J109" i="2"/>
  <c r="J124" i="2"/>
  <c r="J95" i="2"/>
  <c r="Q95" i="2" s="1"/>
  <c r="J134" i="2"/>
  <c r="J107" i="2"/>
  <c r="J104" i="2"/>
  <c r="J112" i="2"/>
  <c r="J125" i="2"/>
  <c r="L38" i="1"/>
  <c r="M38" i="1" s="1"/>
  <c r="N38" i="1" s="1"/>
  <c r="O38" i="1" s="1"/>
  <c r="P38" i="1" s="1"/>
  <c r="K73" i="1" s="1"/>
  <c r="K39" i="1"/>
  <c r="Q96" i="2" l="1"/>
  <c r="Q97" i="2"/>
  <c r="Q94" i="2"/>
  <c r="L39" i="2"/>
  <c r="M39" i="2" s="1"/>
  <c r="N39" i="2" s="1"/>
  <c r="O39" i="2" s="1"/>
  <c r="P39" i="2" s="1"/>
  <c r="L73" i="2" s="1"/>
  <c r="K40" i="2"/>
  <c r="K103" i="1"/>
  <c r="K111" i="1"/>
  <c r="K138" i="1"/>
  <c r="K143" i="1"/>
  <c r="K116" i="1"/>
  <c r="K119" i="1"/>
  <c r="K142" i="1"/>
  <c r="K104" i="1"/>
  <c r="K107" i="1"/>
  <c r="K137" i="1"/>
  <c r="K109" i="1"/>
  <c r="K141" i="1"/>
  <c r="K113" i="1"/>
  <c r="K145" i="1"/>
  <c r="K132" i="1"/>
  <c r="K112" i="1"/>
  <c r="K136" i="1"/>
  <c r="K102" i="1"/>
  <c r="K105" i="1"/>
  <c r="K101" i="1"/>
  <c r="Q101" i="1" s="1"/>
  <c r="K114" i="1"/>
  <c r="K130" i="1"/>
  <c r="K134" i="1"/>
  <c r="K123" i="1"/>
  <c r="K135" i="1"/>
  <c r="K115" i="1"/>
  <c r="K122" i="1"/>
  <c r="K131" i="1"/>
  <c r="K125" i="1"/>
  <c r="K108" i="1"/>
  <c r="K144" i="1"/>
  <c r="K147" i="1"/>
  <c r="K98" i="1"/>
  <c r="Q98" i="1" s="1"/>
  <c r="K100" i="1"/>
  <c r="Q100" i="1" s="1"/>
  <c r="K117" i="1"/>
  <c r="K133" i="1"/>
  <c r="K120" i="1"/>
  <c r="K127" i="1"/>
  <c r="K146" i="1"/>
  <c r="K139" i="1"/>
  <c r="K106" i="1"/>
  <c r="K121" i="1"/>
  <c r="K99" i="1"/>
  <c r="Q99" i="1" s="1"/>
  <c r="K124" i="1"/>
  <c r="K140" i="1"/>
  <c r="K128" i="1"/>
  <c r="K110" i="1"/>
  <c r="K126" i="1"/>
  <c r="K129" i="1"/>
  <c r="K118" i="1"/>
  <c r="K98" i="2"/>
  <c r="Q98" i="2" s="1"/>
  <c r="K117" i="2"/>
  <c r="K125" i="2"/>
  <c r="K118" i="2"/>
  <c r="K145" i="2"/>
  <c r="K128" i="2"/>
  <c r="K115" i="2"/>
  <c r="K122" i="2"/>
  <c r="K120" i="2"/>
  <c r="K139" i="2"/>
  <c r="K143" i="2"/>
  <c r="K101" i="2"/>
  <c r="Q101" i="2" s="1"/>
  <c r="K110" i="2"/>
  <c r="K103" i="2"/>
  <c r="K135" i="2"/>
  <c r="K109" i="2"/>
  <c r="K141" i="2"/>
  <c r="K105" i="2"/>
  <c r="K147" i="2"/>
  <c r="K130" i="2"/>
  <c r="K127" i="2"/>
  <c r="K131" i="2"/>
  <c r="K138" i="2"/>
  <c r="K119" i="2"/>
  <c r="K136" i="2"/>
  <c r="K137" i="2"/>
  <c r="K111" i="2"/>
  <c r="K100" i="2"/>
  <c r="Q100" i="2" s="1"/>
  <c r="K124" i="2"/>
  <c r="K140" i="2"/>
  <c r="K129" i="2"/>
  <c r="K107" i="2"/>
  <c r="K121" i="2"/>
  <c r="K133" i="2"/>
  <c r="K142" i="2"/>
  <c r="K102" i="2"/>
  <c r="K134" i="2"/>
  <c r="K144" i="2"/>
  <c r="K106" i="2"/>
  <c r="K108" i="2"/>
  <c r="K126" i="2"/>
  <c r="K114" i="2"/>
  <c r="K146" i="2"/>
  <c r="K113" i="2"/>
  <c r="K112" i="2"/>
  <c r="K99" i="2"/>
  <c r="Q99" i="2" s="1"/>
  <c r="K104" i="2"/>
  <c r="K116" i="2"/>
  <c r="K132" i="2"/>
  <c r="K123" i="2"/>
  <c r="L39" i="1"/>
  <c r="M39" i="1" s="1"/>
  <c r="N39" i="1" s="1"/>
  <c r="O39" i="1" s="1"/>
  <c r="P39" i="1" s="1"/>
  <c r="L73" i="1" s="1"/>
  <c r="K40" i="1"/>
  <c r="L40" i="1" l="1"/>
  <c r="M40" i="1" s="1"/>
  <c r="N40" i="1" s="1"/>
  <c r="O40" i="1" s="1"/>
  <c r="P40" i="1" s="1"/>
  <c r="M73" i="1" s="1"/>
  <c r="K41" i="1"/>
  <c r="L40" i="2"/>
  <c r="M40" i="2" s="1"/>
  <c r="N40" i="2" s="1"/>
  <c r="O40" i="2" s="1"/>
  <c r="P40" i="2" s="1"/>
  <c r="M73" i="2" s="1"/>
  <c r="K41" i="2"/>
  <c r="L139" i="1"/>
  <c r="L110" i="1"/>
  <c r="L142" i="1"/>
  <c r="L113" i="1"/>
  <c r="L145" i="1"/>
  <c r="L117" i="1"/>
  <c r="L149" i="1"/>
  <c r="L125" i="1"/>
  <c r="L112" i="1"/>
  <c r="L148" i="1"/>
  <c r="L123" i="1"/>
  <c r="L104" i="1"/>
  <c r="Q104" i="1" s="1"/>
  <c r="L114" i="1"/>
  <c r="L146" i="1"/>
  <c r="L131" i="1"/>
  <c r="L109" i="1"/>
  <c r="L105" i="1"/>
  <c r="Q105" i="1" s="1"/>
  <c r="L134" i="1"/>
  <c r="L150" i="1"/>
  <c r="L127" i="1"/>
  <c r="L143" i="1"/>
  <c r="L141" i="1"/>
  <c r="L115" i="1"/>
  <c r="L126" i="1"/>
  <c r="L129" i="1"/>
  <c r="L103" i="1"/>
  <c r="Q103" i="1" s="1"/>
  <c r="L144" i="1"/>
  <c r="L116" i="1"/>
  <c r="L132" i="1"/>
  <c r="L121" i="1"/>
  <c r="L130" i="1"/>
  <c r="L137" i="1"/>
  <c r="L133" i="1"/>
  <c r="L107" i="1"/>
  <c r="L119" i="1"/>
  <c r="L147" i="1"/>
  <c r="L120" i="1"/>
  <c r="L108" i="1"/>
  <c r="L106" i="1"/>
  <c r="L118" i="1"/>
  <c r="L122" i="1"/>
  <c r="L138" i="1"/>
  <c r="L111" i="1"/>
  <c r="L135" i="1"/>
  <c r="L128" i="1"/>
  <c r="L136" i="1"/>
  <c r="L151" i="1"/>
  <c r="L102" i="1"/>
  <c r="Q102" i="1" s="1"/>
  <c r="L124" i="1"/>
  <c r="L140" i="1"/>
  <c r="L102" i="2"/>
  <c r="Q102" i="2" s="1"/>
  <c r="L125" i="2"/>
  <c r="L105" i="2"/>
  <c r="Q105" i="2" s="1"/>
  <c r="L137" i="2"/>
  <c r="L113" i="2"/>
  <c r="L109" i="2"/>
  <c r="L122" i="2"/>
  <c r="L150" i="2"/>
  <c r="L149" i="2"/>
  <c r="L126" i="2"/>
  <c r="L123" i="2"/>
  <c r="L140" i="2"/>
  <c r="L112" i="2"/>
  <c r="L136" i="2"/>
  <c r="L147" i="2"/>
  <c r="L114" i="2"/>
  <c r="L151" i="2"/>
  <c r="L134" i="2"/>
  <c r="L117" i="2"/>
  <c r="L135" i="2"/>
  <c r="L108" i="2"/>
  <c r="L115" i="2"/>
  <c r="L120" i="2"/>
  <c r="L144" i="2"/>
  <c r="L127" i="2"/>
  <c r="L107" i="2"/>
  <c r="L129" i="2"/>
  <c r="L106" i="2"/>
  <c r="L138" i="2"/>
  <c r="L116" i="2"/>
  <c r="L103" i="2"/>
  <c r="Q103" i="2" s="1"/>
  <c r="L110" i="2"/>
  <c r="L142" i="2"/>
  <c r="L128" i="2"/>
  <c r="L133" i="2"/>
  <c r="L121" i="2"/>
  <c r="L130" i="2"/>
  <c r="L146" i="2"/>
  <c r="L139" i="2"/>
  <c r="L145" i="2"/>
  <c r="L118" i="2"/>
  <c r="L132" i="2"/>
  <c r="L148" i="2"/>
  <c r="L131" i="2"/>
  <c r="L119" i="2"/>
  <c r="L124" i="2"/>
  <c r="L141" i="2"/>
  <c r="L104" i="2"/>
  <c r="Q104" i="2" s="1"/>
  <c r="L111" i="2"/>
  <c r="L143" i="2"/>
  <c r="L41" i="2" l="1"/>
  <c r="M41" i="2" s="1"/>
  <c r="N41" i="2" s="1"/>
  <c r="O41" i="2" s="1"/>
  <c r="P41" i="2" s="1"/>
  <c r="N73" i="2" s="1"/>
  <c r="K42" i="2"/>
  <c r="M143" i="1"/>
  <c r="M151" i="1"/>
  <c r="M132" i="1"/>
  <c r="M136" i="1"/>
  <c r="M155" i="1"/>
  <c r="M127" i="1"/>
  <c r="M125" i="1"/>
  <c r="M128" i="1"/>
  <c r="M131" i="1"/>
  <c r="M149" i="1"/>
  <c r="M153" i="1"/>
  <c r="M140" i="1"/>
  <c r="M152" i="1"/>
  <c r="M144" i="1"/>
  <c r="M110" i="1"/>
  <c r="M122" i="1"/>
  <c r="M138" i="1"/>
  <c r="M154" i="1"/>
  <c r="M147" i="1"/>
  <c r="M123" i="1"/>
  <c r="M129" i="1"/>
  <c r="M107" i="1"/>
  <c r="Q107" i="1" s="1"/>
  <c r="M148" i="1"/>
  <c r="M108" i="1"/>
  <c r="Q108" i="1" s="1"/>
  <c r="M112" i="1"/>
  <c r="M145" i="1"/>
  <c r="M111" i="1"/>
  <c r="M119" i="1"/>
  <c r="M114" i="1"/>
  <c r="M130" i="1"/>
  <c r="M139" i="1"/>
  <c r="M146" i="1"/>
  <c r="M117" i="1"/>
  <c r="M133" i="1"/>
  <c r="M121" i="1"/>
  <c r="M116" i="1"/>
  <c r="M124" i="1"/>
  <c r="M120" i="1"/>
  <c r="M106" i="1"/>
  <c r="Q106" i="1" s="1"/>
  <c r="M118" i="1"/>
  <c r="M134" i="1"/>
  <c r="M141" i="1"/>
  <c r="M150" i="1"/>
  <c r="M135" i="1"/>
  <c r="M137" i="1"/>
  <c r="M113" i="1"/>
  <c r="M109" i="1"/>
  <c r="Q109" i="1" s="1"/>
  <c r="M126" i="1"/>
  <c r="M142" i="1"/>
  <c r="M115" i="1"/>
  <c r="M141" i="2"/>
  <c r="M111" i="2"/>
  <c r="M143" i="2"/>
  <c r="M126" i="2"/>
  <c r="M121" i="2"/>
  <c r="M120" i="2"/>
  <c r="M152" i="2"/>
  <c r="M123" i="2"/>
  <c r="M130" i="2"/>
  <c r="M128" i="2"/>
  <c r="M145" i="2"/>
  <c r="M119" i="2"/>
  <c r="M132" i="2"/>
  <c r="M137" i="2"/>
  <c r="M115" i="2"/>
  <c r="M106" i="2"/>
  <c r="Q106" i="2" s="1"/>
  <c r="M118" i="2"/>
  <c r="M133" i="2"/>
  <c r="M149" i="2"/>
  <c r="M155" i="2"/>
  <c r="M138" i="2"/>
  <c r="M154" i="2"/>
  <c r="M136" i="2"/>
  <c r="M139" i="2"/>
  <c r="M108" i="2"/>
  <c r="Q108" i="2" s="1"/>
  <c r="M140" i="2"/>
  <c r="M147" i="2"/>
  <c r="M151" i="2"/>
  <c r="M125" i="2"/>
  <c r="M110" i="2"/>
  <c r="M153" i="2"/>
  <c r="M135" i="2"/>
  <c r="M107" i="2"/>
  <c r="Q107" i="2" s="1"/>
  <c r="M114" i="2"/>
  <c r="M144" i="2"/>
  <c r="M124" i="2"/>
  <c r="M129" i="2"/>
  <c r="M109" i="2"/>
  <c r="Q109" i="2" s="1"/>
  <c r="M134" i="2"/>
  <c r="M150" i="2"/>
  <c r="M117" i="2"/>
  <c r="M113" i="2"/>
  <c r="M122" i="2"/>
  <c r="M142" i="2"/>
  <c r="M146" i="2"/>
  <c r="M127" i="2"/>
  <c r="M112" i="2"/>
  <c r="M116" i="2"/>
  <c r="M148" i="2"/>
  <c r="M131" i="2"/>
  <c r="L41" i="1"/>
  <c r="M41" i="1" s="1"/>
  <c r="N41" i="1" s="1"/>
  <c r="O41" i="1" s="1"/>
  <c r="P41" i="1" s="1"/>
  <c r="N73" i="1" s="1"/>
  <c r="K42" i="1"/>
  <c r="L42" i="2" l="1"/>
  <c r="M42" i="2" s="1"/>
  <c r="N42" i="2" s="1"/>
  <c r="O42" i="2" s="1"/>
  <c r="P42" i="2" s="1"/>
  <c r="O73" i="2" s="1"/>
  <c r="K43" i="2"/>
  <c r="L43" i="2" s="1"/>
  <c r="L42" i="1"/>
  <c r="M42" i="1" s="1"/>
  <c r="N42" i="1" s="1"/>
  <c r="O42" i="1" s="1"/>
  <c r="P42" i="1" s="1"/>
  <c r="O73" i="1" s="1"/>
  <c r="K43" i="1"/>
  <c r="L43" i="1" s="1"/>
  <c r="N110" i="2"/>
  <c r="Q110" i="2" s="1"/>
  <c r="N153" i="2"/>
  <c r="N159" i="2"/>
  <c r="N146" i="2"/>
  <c r="N158" i="2"/>
  <c r="N156" i="2"/>
  <c r="N139" i="2"/>
  <c r="N150" i="2"/>
  <c r="N116" i="2"/>
  <c r="N112" i="2"/>
  <c r="Q112" i="2" s="1"/>
  <c r="N136" i="2"/>
  <c r="N133" i="2"/>
  <c r="N129" i="2"/>
  <c r="N138" i="2"/>
  <c r="N145" i="2"/>
  <c r="N115" i="2"/>
  <c r="N147" i="2"/>
  <c r="N137" i="2"/>
  <c r="N142" i="2"/>
  <c r="N124" i="2"/>
  <c r="N111" i="2"/>
  <c r="Q111" i="2" s="1"/>
  <c r="N118" i="2"/>
  <c r="N143" i="2"/>
  <c r="N131" i="2"/>
  <c r="N149" i="2"/>
  <c r="N144" i="2"/>
  <c r="N151" i="2"/>
  <c r="N113" i="2"/>
  <c r="Q113" i="2" s="1"/>
  <c r="N154" i="2"/>
  <c r="N121" i="2"/>
  <c r="N117" i="2"/>
  <c r="N114" i="2"/>
  <c r="N130" i="2"/>
  <c r="N140" i="2"/>
  <c r="N132" i="2"/>
  <c r="N120" i="2"/>
  <c r="N128" i="2"/>
  <c r="N152" i="2"/>
  <c r="N141" i="2"/>
  <c r="N119" i="2"/>
  <c r="N155" i="2"/>
  <c r="N122" i="2"/>
  <c r="N126" i="2"/>
  <c r="N125" i="2"/>
  <c r="N157" i="2"/>
  <c r="N127" i="2"/>
  <c r="N134" i="2"/>
  <c r="N148" i="2"/>
  <c r="N123" i="2"/>
  <c r="N135" i="2"/>
  <c r="N125" i="1"/>
  <c r="N111" i="1"/>
  <c r="Q111" i="1" s="1"/>
  <c r="N124" i="1"/>
  <c r="N140" i="1"/>
  <c r="N156" i="1"/>
  <c r="N142" i="1"/>
  <c r="N135" i="1"/>
  <c r="N149" i="1"/>
  <c r="N115" i="1"/>
  <c r="N127" i="1"/>
  <c r="N143" i="1"/>
  <c r="N150" i="1"/>
  <c r="N155" i="1"/>
  <c r="N120" i="1"/>
  <c r="N112" i="1"/>
  <c r="Q112" i="1" s="1"/>
  <c r="N129" i="1"/>
  <c r="N154" i="1"/>
  <c r="N132" i="1"/>
  <c r="N139" i="1"/>
  <c r="N114" i="1"/>
  <c r="N126" i="1"/>
  <c r="N130" i="1"/>
  <c r="N119" i="1"/>
  <c r="N123" i="1"/>
  <c r="N134" i="1"/>
  <c r="N121" i="1"/>
  <c r="N137" i="1"/>
  <c r="N133" i="1"/>
  <c r="N128" i="1"/>
  <c r="N136" i="1"/>
  <c r="N144" i="1"/>
  <c r="N152" i="1"/>
  <c r="N110" i="1"/>
  <c r="Q110" i="1" s="1"/>
  <c r="N131" i="1"/>
  <c r="N138" i="1"/>
  <c r="N145" i="1"/>
  <c r="N116" i="1"/>
  <c r="N148" i="1"/>
  <c r="N141" i="1"/>
  <c r="N117" i="1"/>
  <c r="N113" i="1"/>
  <c r="Q113" i="1" s="1"/>
  <c r="N146" i="1"/>
  <c r="N147" i="1"/>
  <c r="N118" i="1"/>
  <c r="N153" i="1"/>
  <c r="N157" i="1"/>
  <c r="N159" i="1"/>
  <c r="N122" i="1"/>
  <c r="N158" i="1"/>
  <c r="N151" i="1"/>
  <c r="M43" i="1" l="1"/>
  <c r="N43" i="1" s="1"/>
  <c r="O43" i="1" s="1"/>
  <c r="P43" i="1" s="1"/>
  <c r="P73" i="1" s="1"/>
  <c r="O126" i="2"/>
  <c r="O146" i="2"/>
  <c r="O147" i="2"/>
  <c r="O116" i="2"/>
  <c r="Q116" i="2" s="1"/>
  <c r="O140" i="2"/>
  <c r="O156" i="2"/>
  <c r="O145" i="2"/>
  <c r="O155" i="2"/>
  <c r="O137" i="2"/>
  <c r="O117" i="2"/>
  <c r="Q117" i="2" s="1"/>
  <c r="O149" i="2"/>
  <c r="O125" i="2"/>
  <c r="O121" i="2"/>
  <c r="O118" i="2"/>
  <c r="O150" i="2"/>
  <c r="O162" i="2"/>
  <c r="O161" i="2"/>
  <c r="O115" i="2"/>
  <c r="Q115" i="2" s="1"/>
  <c r="O122" i="2"/>
  <c r="O154" i="2"/>
  <c r="O135" i="2"/>
  <c r="O152" i="2"/>
  <c r="O153" i="2"/>
  <c r="O123" i="2"/>
  <c r="O139" i="2"/>
  <c r="O159" i="2"/>
  <c r="O142" i="2"/>
  <c r="O158" i="2"/>
  <c r="O157" i="2"/>
  <c r="O163" i="2"/>
  <c r="O130" i="2"/>
  <c r="O129" i="2"/>
  <c r="O128" i="2"/>
  <c r="O160" i="2"/>
  <c r="O120" i="2"/>
  <c r="O124" i="2"/>
  <c r="O148" i="2"/>
  <c r="O114" i="2"/>
  <c r="Q114" i="2" s="1"/>
  <c r="O133" i="2"/>
  <c r="O119" i="2"/>
  <c r="O151" i="2"/>
  <c r="O141" i="2"/>
  <c r="O134" i="2"/>
  <c r="O144" i="2"/>
  <c r="O143" i="2"/>
  <c r="O131" i="2"/>
  <c r="O138" i="2"/>
  <c r="O136" i="2"/>
  <c r="O127" i="2"/>
  <c r="O132" i="2"/>
  <c r="O127" i="1"/>
  <c r="O131" i="1"/>
  <c r="O147" i="1"/>
  <c r="O141" i="1"/>
  <c r="O132" i="1"/>
  <c r="O148" i="1"/>
  <c r="O128" i="1"/>
  <c r="O149" i="1"/>
  <c r="O152" i="1"/>
  <c r="O143" i="1"/>
  <c r="O118" i="1"/>
  <c r="O130" i="1"/>
  <c r="O150" i="1"/>
  <c r="O151" i="1"/>
  <c r="O138" i="1"/>
  <c r="O125" i="1"/>
  <c r="O157" i="1"/>
  <c r="O137" i="1"/>
  <c r="O115" i="1"/>
  <c r="Q115" i="1" s="1"/>
  <c r="O160" i="1"/>
  <c r="O163" i="1"/>
  <c r="O114" i="1"/>
  <c r="Q114" i="1" s="1"/>
  <c r="O135" i="1"/>
  <c r="O116" i="1"/>
  <c r="Q116" i="1" s="1"/>
  <c r="O142" i="1"/>
  <c r="O136" i="1"/>
  <c r="O121" i="1"/>
  <c r="O117" i="1"/>
  <c r="Q117" i="1" s="1"/>
  <c r="O162" i="1"/>
  <c r="O123" i="1"/>
  <c r="O155" i="1"/>
  <c r="O119" i="1"/>
  <c r="O122" i="1"/>
  <c r="O129" i="1"/>
  <c r="O161" i="1"/>
  <c r="O124" i="1"/>
  <c r="O140" i="1"/>
  <c r="O156" i="1"/>
  <c r="O144" i="1"/>
  <c r="O126" i="1"/>
  <c r="O133" i="1"/>
  <c r="O145" i="1"/>
  <c r="O134" i="1"/>
  <c r="O153" i="1"/>
  <c r="O154" i="1"/>
  <c r="O159" i="1"/>
  <c r="O158" i="1"/>
  <c r="O120" i="1"/>
  <c r="O146" i="1"/>
  <c r="O139" i="1"/>
  <c r="M43" i="2"/>
  <c r="N43" i="2" s="1"/>
  <c r="O43" i="2" s="1"/>
  <c r="P43" i="2" s="1"/>
  <c r="P73" i="2" l="1"/>
  <c r="P159" i="2" s="1"/>
  <c r="Q159" i="2" s="1"/>
  <c r="P44" i="2"/>
  <c r="O46" i="2" s="1"/>
  <c r="M19" i="2" s="1"/>
  <c r="P157" i="1"/>
  <c r="Q157" i="1" s="1"/>
  <c r="P135" i="1"/>
  <c r="Q135" i="1" s="1"/>
  <c r="P142" i="1"/>
  <c r="Q142" i="1" s="1"/>
  <c r="P145" i="1"/>
  <c r="Q145" i="1" s="1"/>
  <c r="P160" i="1"/>
  <c r="Q160" i="1" s="1"/>
  <c r="P139" i="1"/>
  <c r="Q139" i="1" s="1"/>
  <c r="P137" i="1"/>
  <c r="Q137" i="1" s="1"/>
  <c r="P146" i="1"/>
  <c r="Q146" i="1" s="1"/>
  <c r="P153" i="1"/>
  <c r="Q153" i="1" s="1"/>
  <c r="P140" i="1"/>
  <c r="Q140" i="1" s="1"/>
  <c r="P149" i="1"/>
  <c r="Q149" i="1" s="1"/>
  <c r="P121" i="1"/>
  <c r="Q121" i="1" s="1"/>
  <c r="P129" i="1"/>
  <c r="Q129" i="1" s="1"/>
  <c r="P163" i="1"/>
  <c r="Q163" i="1" s="1"/>
  <c r="P128" i="1"/>
  <c r="Q128" i="1" s="1"/>
  <c r="P144" i="1"/>
  <c r="Q144" i="1" s="1"/>
  <c r="P148" i="1"/>
  <c r="Q148" i="1" s="1"/>
  <c r="P120" i="1"/>
  <c r="Q120" i="1" s="1"/>
  <c r="P162" i="1"/>
  <c r="Q162" i="1" s="1"/>
  <c r="P124" i="1"/>
  <c r="Q124" i="1" s="1"/>
  <c r="P122" i="1"/>
  <c r="Q122" i="1" s="1"/>
  <c r="P134" i="1"/>
  <c r="Q134" i="1" s="1"/>
  <c r="P151" i="1"/>
  <c r="Q151" i="1" s="1"/>
  <c r="P158" i="1"/>
  <c r="Q158" i="1" s="1"/>
  <c r="P133" i="1"/>
  <c r="Q133" i="1" s="1"/>
  <c r="P152" i="1"/>
  <c r="Q152" i="1" s="1"/>
  <c r="P167" i="1"/>
  <c r="Q167" i="1" s="1"/>
  <c r="P118" i="1"/>
  <c r="Q118" i="1" s="1"/>
  <c r="P156" i="1"/>
  <c r="Q156" i="1" s="1"/>
  <c r="P138" i="1"/>
  <c r="Q138" i="1" s="1"/>
  <c r="P154" i="1"/>
  <c r="Q154" i="1" s="1"/>
  <c r="P166" i="1"/>
  <c r="Q166" i="1" s="1"/>
  <c r="P127" i="1"/>
  <c r="Q127" i="1" s="1"/>
  <c r="P143" i="1"/>
  <c r="Q143" i="1" s="1"/>
  <c r="P123" i="1"/>
  <c r="Q123" i="1" s="1"/>
  <c r="P155" i="1"/>
  <c r="Q155" i="1" s="1"/>
  <c r="P131" i="1"/>
  <c r="Q131" i="1" s="1"/>
  <c r="P126" i="1"/>
  <c r="Q126" i="1" s="1"/>
  <c r="P161" i="1"/>
  <c r="Q161" i="1" s="1"/>
  <c r="P165" i="1"/>
  <c r="Q165" i="1" s="1"/>
  <c r="P141" i="1"/>
  <c r="Q141" i="1" s="1"/>
  <c r="P119" i="1"/>
  <c r="Q119" i="1" s="1"/>
  <c r="P136" i="1"/>
  <c r="Q136" i="1" s="1"/>
  <c r="P132" i="1"/>
  <c r="Q132" i="1" s="1"/>
  <c r="P164" i="1"/>
  <c r="Q164" i="1" s="1"/>
  <c r="P130" i="1"/>
  <c r="Q130" i="1" s="1"/>
  <c r="P147" i="1"/>
  <c r="Q147" i="1" s="1"/>
  <c r="P125" i="1"/>
  <c r="Q125" i="1" s="1"/>
  <c r="P150" i="1"/>
  <c r="Q150" i="1" s="1"/>
  <c r="P159" i="1"/>
  <c r="Q159" i="1" s="1"/>
  <c r="P139" i="2" l="1"/>
  <c r="Q139" i="2" s="1"/>
  <c r="P134" i="2"/>
  <c r="Q134" i="2" s="1"/>
  <c r="P142" i="2"/>
  <c r="Q142" i="2" s="1"/>
  <c r="P143" i="2"/>
  <c r="Q143" i="2" s="1"/>
  <c r="P155" i="2"/>
  <c r="Q155" i="2" s="1"/>
  <c r="P121" i="2"/>
  <c r="Q121" i="2" s="1"/>
  <c r="P123" i="2"/>
  <c r="Q123" i="2" s="1"/>
  <c r="P146" i="2"/>
  <c r="Q146" i="2" s="1"/>
  <c r="P166" i="2"/>
  <c r="Q166" i="2" s="1"/>
  <c r="P119" i="2"/>
  <c r="Q119" i="2" s="1"/>
  <c r="P149" i="2"/>
  <c r="Q149" i="2" s="1"/>
  <c r="P161" i="2"/>
  <c r="Q161" i="2" s="1"/>
  <c r="P133" i="2"/>
  <c r="Q133" i="2" s="1"/>
  <c r="P128" i="2"/>
  <c r="Q128" i="2" s="1"/>
  <c r="P131" i="2"/>
  <c r="Q131" i="2" s="1"/>
  <c r="P126" i="2"/>
  <c r="Q126" i="2" s="1"/>
  <c r="P129" i="2"/>
  <c r="Q129" i="2" s="1"/>
  <c r="P157" i="2"/>
  <c r="Q157" i="2" s="1"/>
  <c r="P164" i="2"/>
  <c r="Q164" i="2" s="1"/>
  <c r="P153" i="2"/>
  <c r="Q153" i="2" s="1"/>
  <c r="P124" i="2"/>
  <c r="Q124" i="2" s="1"/>
  <c r="P122" i="2"/>
  <c r="Q122" i="2" s="1"/>
  <c r="P127" i="2"/>
  <c r="Q127" i="2" s="1"/>
  <c r="P158" i="2"/>
  <c r="Q158" i="2" s="1"/>
  <c r="P167" i="2"/>
  <c r="Q167" i="2" s="1"/>
  <c r="P160" i="2"/>
  <c r="Q160" i="2" s="1"/>
  <c r="P135" i="2"/>
  <c r="Q135" i="2" s="1"/>
  <c r="P145" i="2"/>
  <c r="Q145" i="2" s="1"/>
  <c r="P163" i="2"/>
  <c r="Q163" i="2" s="1"/>
  <c r="P144" i="2"/>
  <c r="Q144" i="2" s="1"/>
  <c r="P147" i="2"/>
  <c r="Q147" i="2" s="1"/>
  <c r="P162" i="2"/>
  <c r="Q162" i="2" s="1"/>
  <c r="P120" i="2"/>
  <c r="Q120" i="2" s="1"/>
  <c r="P132" i="2"/>
  <c r="Q132" i="2" s="1"/>
  <c r="P156" i="2"/>
  <c r="Q156" i="2" s="1"/>
  <c r="P165" i="2"/>
  <c r="Q165" i="2" s="1"/>
  <c r="P151" i="2"/>
  <c r="Q151" i="2" s="1"/>
  <c r="P137" i="2"/>
  <c r="Q137" i="2" s="1"/>
  <c r="P138" i="2"/>
  <c r="Q138" i="2" s="1"/>
  <c r="P148" i="2"/>
  <c r="Q148" i="2" s="1"/>
  <c r="P152" i="2"/>
  <c r="Q152" i="2" s="1"/>
  <c r="P141" i="2"/>
  <c r="Q141" i="2" s="1"/>
  <c r="P150" i="2"/>
  <c r="Q150" i="2" s="1"/>
  <c r="P118" i="2"/>
  <c r="Q118" i="2" s="1"/>
  <c r="P125" i="2"/>
  <c r="Q125" i="2" s="1"/>
  <c r="P136" i="2"/>
  <c r="Q136" i="2" s="1"/>
  <c r="P130" i="2"/>
  <c r="Q130" i="2" s="1"/>
  <c r="P140" i="2"/>
  <c r="Q140" i="2" s="1"/>
  <c r="P154" i="2"/>
  <c r="Q154" i="2" s="1"/>
  <c r="R74" i="1"/>
  <c r="R74" i="2" l="1"/>
  <c r="I2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3" authorId="0" shapeId="0" xr:uid="{00000000-0006-0000-0000-000001000000}">
      <text>
        <r>
          <rPr>
            <sz val="10"/>
            <color rgb="FF000000"/>
            <rFont val="Arial"/>
          </rPr>
          <t>GRANDE:
pastizales-plano-10 años &gt; 0,30
CHICA:
pastizales-promedio-10 años &gt; 0,38</t>
        </r>
      </text>
    </comment>
    <comment ref="J31" authorId="0" shapeId="0" xr:uid="{00000000-0006-0000-0000-000002000000}">
      <text>
        <r>
          <rPr>
            <sz val="10"/>
            <color rgb="FF000000"/>
            <rFont val="Arial"/>
          </rPr>
          <t>Se ordena la tormenta
Siempre verificar que quede el incremento máximo en la posición 7 y a partir de ahí alternar el siguiente valor en la 6, luego 8, luego 5 y así sucesivamente</t>
        </r>
      </text>
    </comment>
    <comment ref="C73" authorId="0" shapeId="0" xr:uid="{00000000-0006-0000-0000-000003000000}">
      <text>
        <r>
          <rPr>
            <sz val="10"/>
            <color rgb="FF000000"/>
            <rFont val="Arial"/>
          </rPr>
          <t>discretizo D en 4</t>
        </r>
      </text>
    </comment>
    <comment ref="D73" authorId="0" shapeId="0" xr:uid="{00000000-0006-0000-0000-000004000000}">
      <text>
        <r>
          <rPr>
            <sz val="10"/>
            <color rgb="FF000000"/>
            <rFont val="Arial"/>
          </rPr>
          <t xml:space="preserve">La condición que impongo es:
Si la duración es menor o igual al tiempo base, entonces hago U=a*D+b (dependiendo de si estoy antes de Tp o después).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3" authorId="0" shapeId="0" xr:uid="{00000000-0006-0000-0100-000001000000}">
      <text>
        <r>
          <rPr>
            <sz val="10"/>
            <color rgb="FF000000"/>
            <rFont val="Arial"/>
          </rPr>
          <t>GRANDE:
pastizales-plano-10 años &gt; 0,30
CHICA:
pastizales-promedio-10 años &gt; 0,38</t>
        </r>
      </text>
    </comment>
    <comment ref="J31" authorId="0" shapeId="0" xr:uid="{00000000-0006-0000-0100-000002000000}">
      <text>
        <r>
          <rPr>
            <sz val="10"/>
            <color rgb="FF000000"/>
            <rFont val="Arial"/>
          </rPr>
          <t>Se ordena la tormenta
Siempre verificar que quede el incremento máximo en la posición 7 y a partir de ahí alternar el siguiente valor en la 6, luego 8, luego 5 y así sucesivamente</t>
        </r>
      </text>
    </comment>
    <comment ref="C73" authorId="0" shapeId="0" xr:uid="{00000000-0006-0000-0100-000003000000}">
      <text>
        <r>
          <rPr>
            <sz val="10"/>
            <color rgb="FF000000"/>
            <rFont val="Arial"/>
          </rPr>
          <t>discretizo D en 4</t>
        </r>
      </text>
    </comment>
    <comment ref="D73" authorId="0" shapeId="0" xr:uid="{00000000-0006-0000-0100-000004000000}">
      <text>
        <r>
          <rPr>
            <sz val="10"/>
            <color rgb="FF000000"/>
            <rFont val="Arial"/>
          </rPr>
          <t xml:space="preserve">La condición que impongo es:
Si la duración es menor o igual al tiempo base, entonces hago U=a*D+b (dependiendo de si estoy antes de Tp o después).
</t>
        </r>
      </text>
    </comment>
  </commentList>
</comments>
</file>

<file path=xl/sharedStrings.xml><?xml version="1.0" encoding="utf-8"?>
<sst xmlns="http://schemas.openxmlformats.org/spreadsheetml/2006/main" count="238" uniqueCount="131">
  <si>
    <t>Tiempo de concentración</t>
  </si>
  <si>
    <t>INPUT</t>
  </si>
  <si>
    <t>Cuenca grande</t>
  </si>
  <si>
    <t>Cuenca chica</t>
  </si>
  <si>
    <t>Área cuenca</t>
  </si>
  <si>
    <t>A (km)</t>
  </si>
  <si>
    <t>Área (km)</t>
  </si>
  <si>
    <t>Coef de escorrentía</t>
  </si>
  <si>
    <t>c</t>
  </si>
  <si>
    <t>Tabla 3.1.4</t>
  </si>
  <si>
    <t>Largo cauce ppal (km)</t>
  </si>
  <si>
    <t>Tc (hs)</t>
  </si>
  <si>
    <t>Pendiente (%)</t>
  </si>
  <si>
    <t>Tiempo de retorno</t>
  </si>
  <si>
    <t>Tr (años)</t>
  </si>
  <si>
    <t>método de Ramser y Kirpich</t>
  </si>
  <si>
    <t>P 3,10</t>
  </si>
  <si>
    <t>P 3,10 (mm)</t>
  </si>
  <si>
    <t>Figura 3.1.10</t>
  </si>
  <si>
    <t>Nro de curva</t>
  </si>
  <si>
    <t>NC</t>
  </si>
  <si>
    <t>Grupo hidrológico</t>
  </si>
  <si>
    <t>GH</t>
  </si>
  <si>
    <t>D</t>
  </si>
  <si>
    <t>Caudal máximo de diseño</t>
  </si>
  <si>
    <r>
      <rPr>
        <b/>
        <sz val="10"/>
        <color theme="1"/>
        <rFont val="Arial"/>
      </rPr>
      <t xml:space="preserve">Precipitación máxima </t>
    </r>
    <r>
      <rPr>
        <sz val="10"/>
        <color theme="1"/>
        <rFont val="Arial"/>
      </rPr>
      <t>(método racional)</t>
    </r>
  </si>
  <si>
    <t>Métodos</t>
  </si>
  <si>
    <t>Tc &lt; 20 min</t>
  </si>
  <si>
    <t>Método racional</t>
  </si>
  <si>
    <t>corrección Tr</t>
  </si>
  <si>
    <t>CT</t>
  </si>
  <si>
    <t>20 min &lt; Tc &lt; 1 h</t>
  </si>
  <si>
    <t>Aplicar ambos métodos y quedarse con el que de mayor caudal</t>
  </si>
  <si>
    <t>corrección d</t>
  </si>
  <si>
    <t>CD</t>
  </si>
  <si>
    <t>Tc &gt; 1 h</t>
  </si>
  <si>
    <t>Método NRCS</t>
  </si>
  <si>
    <t>corrección A</t>
  </si>
  <si>
    <t>CA</t>
  </si>
  <si>
    <t>Precipitación máxima (mm)</t>
  </si>
  <si>
    <t>en un punto</t>
  </si>
  <si>
    <t>en un área</t>
  </si>
  <si>
    <t>coef. de escorrentía</t>
  </si>
  <si>
    <t>intensidad unif. (d=Tc)</t>
  </si>
  <si>
    <t>i (mm/h)</t>
  </si>
  <si>
    <t>d (hs)</t>
  </si>
  <si>
    <t>área de la cuenca</t>
  </si>
  <si>
    <t>A (Ha)</t>
  </si>
  <si>
    <t>1 km2 ~ 100 Ha</t>
  </si>
  <si>
    <t>caudal máximo</t>
  </si>
  <si>
    <t>Qmax (m3/s)</t>
  </si>
  <si>
    <t>Intervalos</t>
  </si>
  <si>
    <t>Retención potencial máxima</t>
  </si>
  <si>
    <t>S</t>
  </si>
  <si>
    <t>Infiltración mínima (mm/h)</t>
  </si>
  <si>
    <t>Tormenta de diseño</t>
  </si>
  <si>
    <t>Precipitación efectiva y la corrección</t>
  </si>
  <si>
    <t>Duración (hs)</t>
  </si>
  <si>
    <r>
      <rPr>
        <sz val="10"/>
        <color theme="1"/>
        <rFont val="Arial"/>
      </rPr>
      <t xml:space="preserve">P </t>
    </r>
    <r>
      <rPr>
        <sz val="7"/>
        <color theme="1"/>
        <rFont val="Arial"/>
      </rPr>
      <t>3,10</t>
    </r>
    <r>
      <rPr>
        <sz val="10"/>
        <color theme="1"/>
        <rFont val="Arial"/>
      </rPr>
      <t xml:space="preserve"> (mm)</t>
    </r>
  </si>
  <si>
    <r>
      <rPr>
        <sz val="10"/>
        <color theme="1"/>
        <rFont val="Arial"/>
      </rPr>
      <t>P</t>
    </r>
    <r>
      <rPr>
        <sz val="7"/>
        <color theme="1"/>
        <rFont val="Arial"/>
      </rPr>
      <t>max</t>
    </r>
    <r>
      <rPr>
        <sz val="10"/>
        <color theme="1"/>
        <rFont val="Arial"/>
      </rPr>
      <t xml:space="preserve"> (mm)</t>
    </r>
  </si>
  <si>
    <t>Incremento de P (mm)</t>
  </si>
  <si>
    <t>Tormenta (mm)</t>
  </si>
  <si>
    <t>P o tormenta acumulada (mm)</t>
  </si>
  <si>
    <t>Escurrimiento acum. (Pe acum.) (mm)</t>
  </si>
  <si>
    <t>Incrementos de esc. (Pe) (mm)</t>
  </si>
  <si>
    <r>
      <rPr>
        <sz val="10"/>
        <color theme="1"/>
        <rFont val="Arial"/>
      </rPr>
      <t>Deficit inicial (</t>
    </r>
    <r>
      <rPr>
        <sz val="8"/>
        <color theme="1"/>
        <rFont val="Arial"/>
      </rPr>
      <t>tormenta - Pe</t>
    </r>
    <r>
      <rPr>
        <sz val="10"/>
        <color theme="1"/>
        <rFont val="Arial"/>
      </rPr>
      <t>) (mm)</t>
    </r>
  </si>
  <si>
    <t>Tasa déficil (mm/h)</t>
  </si>
  <si>
    <t>Pe corregida (mm)</t>
  </si>
  <si>
    <t>Hidrograma unitario</t>
  </si>
  <si>
    <t>Coord. X</t>
  </si>
  <si>
    <t>Coord. Y</t>
  </si>
  <si>
    <t>Tiempo pico</t>
  </si>
  <si>
    <t>Tp (hs)</t>
  </si>
  <si>
    <t>Tiempo base</t>
  </si>
  <si>
    <t>tb (hs)</t>
  </si>
  <si>
    <t>Caudal pico</t>
  </si>
  <si>
    <t>qp (m3/s/mm)</t>
  </si>
  <si>
    <t>Parametrización (ax+b)</t>
  </si>
  <si>
    <t>a</t>
  </si>
  <si>
    <t>b</t>
  </si>
  <si>
    <t>aumento caudal</t>
  </si>
  <si>
    <t>0</t>
  </si>
  <si>
    <t>disminución caudal</t>
  </si>
  <si>
    <t>Hietograma de precipitación</t>
  </si>
  <si>
    <t>U</t>
  </si>
  <si>
    <t>Q total (mm/s)</t>
  </si>
  <si>
    <t>Qmax (mm/s)</t>
  </si>
  <si>
    <r>
      <rPr>
        <b/>
        <sz val="10"/>
        <color theme="1"/>
        <rFont val="Arial"/>
      </rPr>
      <t xml:space="preserve">Precipitación máxima </t>
    </r>
    <r>
      <rPr>
        <sz val="10"/>
        <color theme="1"/>
        <rFont val="Arial"/>
      </rPr>
      <t>(método racional)</t>
    </r>
  </si>
  <si>
    <r>
      <rPr>
        <sz val="10"/>
        <color theme="1"/>
        <rFont val="Arial"/>
      </rPr>
      <t xml:space="preserve">P </t>
    </r>
    <r>
      <rPr>
        <sz val="7"/>
        <color theme="1"/>
        <rFont val="Arial"/>
      </rPr>
      <t>3,10</t>
    </r>
    <r>
      <rPr>
        <sz val="10"/>
        <color theme="1"/>
        <rFont val="Arial"/>
      </rPr>
      <t xml:space="preserve"> (mm)</t>
    </r>
  </si>
  <si>
    <r>
      <rPr>
        <sz val="10"/>
        <color theme="1"/>
        <rFont val="Arial"/>
      </rPr>
      <t>P</t>
    </r>
    <r>
      <rPr>
        <sz val="7"/>
        <color theme="1"/>
        <rFont val="Arial"/>
      </rPr>
      <t>max</t>
    </r>
    <r>
      <rPr>
        <sz val="10"/>
        <color theme="1"/>
        <rFont val="Arial"/>
      </rPr>
      <t xml:space="preserve"> (mm)</t>
    </r>
  </si>
  <si>
    <r>
      <rPr>
        <sz val="10"/>
        <color theme="1"/>
        <rFont val="Arial"/>
      </rPr>
      <t>Déficit inicial (</t>
    </r>
    <r>
      <rPr>
        <sz val="8"/>
        <color theme="1"/>
        <rFont val="Arial"/>
      </rPr>
      <t>tormenta - Pe</t>
    </r>
    <r>
      <rPr>
        <sz val="10"/>
        <color theme="1"/>
        <rFont val="Arial"/>
      </rPr>
      <t>) (mm)</t>
    </r>
  </si>
  <si>
    <t>Tasa déficit (mm/h)</t>
  </si>
  <si>
    <t>Qmax</t>
  </si>
  <si>
    <t>B</t>
  </si>
  <si>
    <t>C</t>
  </si>
  <si>
    <t>t(min)</t>
  </si>
  <si>
    <t>P(mm)</t>
  </si>
  <si>
    <t>Pacum</t>
  </si>
  <si>
    <t>Pefc acum</t>
  </si>
  <si>
    <t xml:space="preserve">Pefc </t>
  </si>
  <si>
    <t>Pendiente del cauce ppal(%)</t>
  </si>
  <si>
    <t>Metodo NRCS para Tc</t>
  </si>
  <si>
    <t>Flujo NO concentrado</t>
  </si>
  <si>
    <t>Flujo concentrado</t>
  </si>
  <si>
    <t>k</t>
  </si>
  <si>
    <t>-</t>
  </si>
  <si>
    <t>Si te dan S (pendiente media)</t>
  </si>
  <si>
    <t>Metodo NRCS</t>
  </si>
  <si>
    <t>Metodo Racional</t>
  </si>
  <si>
    <t>S(pendiente media )</t>
  </si>
  <si>
    <t xml:space="preserve">Neceito pendiente </t>
  </si>
  <si>
    <t>es=DeltaH/Largo(m) * 100</t>
  </si>
  <si>
    <t>Vol Escorrentia</t>
  </si>
  <si>
    <t>m3</t>
  </si>
  <si>
    <t>NC a usar</t>
  </si>
  <si>
    <t>Reduccion de tc</t>
  </si>
  <si>
    <t>Tc nuevo en% de tc viejo</t>
  </si>
  <si>
    <t>L</t>
  </si>
  <si>
    <t>Delta H</t>
  </si>
  <si>
    <t>s</t>
  </si>
  <si>
    <t xml:space="preserve">CÁLCULOS AUXILIARES </t>
  </si>
  <si>
    <t>Tc</t>
  </si>
  <si>
    <t>Area cultivo%</t>
  </si>
  <si>
    <t>NC cultivo</t>
  </si>
  <si>
    <t xml:space="preserve">NC pastizal </t>
  </si>
  <si>
    <t>Area Pastizal%</t>
  </si>
  <si>
    <t>m3/s</t>
  </si>
  <si>
    <t xml:space="preserve">Para encontrar periodo de retorno </t>
  </si>
  <si>
    <t>Buscar objetivo, igualo el caudal a el caudal maximo</t>
  </si>
  <si>
    <t xml:space="preserve">que me dan en la letra y ahí pongo variando el Tr </t>
  </si>
  <si>
    <t xml:space="preserve">VAR DATOS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</si>
</sst>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.m"/>
    <numFmt numFmtId="165" formatCode="0.00000000"/>
    <numFmt numFmtId="166" formatCode="0.0000000"/>
  </numFmts>
  <fonts count="17" x14ac:knownFonts="1">
    <font>
      <sz val="10"/>
      <color rgb="FF000000"/>
      <name val="Arial"/>
    </font>
    <font>
      <sz val="10"/>
      <color theme="1"/>
      <name val="Arial"/>
    </font>
    <font>
      <b/>
      <sz val="10"/>
      <color theme="1"/>
      <name val="Arial"/>
    </font>
    <font>
      <sz val="10"/>
      <name val="Arial"/>
    </font>
    <font>
      <sz val="10"/>
      <color rgb="FFFFFFFF"/>
      <name val="Arial"/>
    </font>
    <font>
      <sz val="9"/>
      <color theme="1"/>
      <name val="Arial"/>
    </font>
    <font>
      <b/>
      <sz val="10"/>
      <color rgb="FF000000"/>
      <name val="Arial"/>
    </font>
    <font>
      <sz val="10"/>
      <color rgb="FF000000"/>
      <name val="Arial"/>
    </font>
    <font>
      <sz val="7"/>
      <color theme="1"/>
      <name val="Arial"/>
    </font>
    <font>
      <sz val="8"/>
      <color theme="1"/>
      <name val="Arial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u/>
      <sz val="10"/>
      <color theme="1"/>
      <name val="Arial"/>
      <family val="2"/>
    </font>
    <font>
      <b/>
      <u/>
      <sz val="10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36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ck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ck">
        <color rgb="FFFFFFFF"/>
      </right>
      <top style="thin">
        <color rgb="FFFFFFFF"/>
      </top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ck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FFFFFF"/>
      </bottom>
      <diagonal/>
    </border>
    <border>
      <left/>
      <right/>
      <top style="thin">
        <color indexed="64"/>
      </top>
      <bottom style="thin">
        <color rgb="FFFFFFFF"/>
      </bottom>
      <diagonal/>
    </border>
    <border>
      <left/>
      <right style="thin">
        <color indexed="64"/>
      </right>
      <top style="thin">
        <color indexed="64"/>
      </top>
      <bottom style="thin">
        <color rgb="FFFFFFFF"/>
      </bottom>
      <diagonal/>
    </border>
    <border>
      <left style="thin">
        <color indexed="64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indexed="64"/>
      </right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thin">
        <color rgb="FFFFFFFF"/>
      </right>
      <top style="thin">
        <color rgb="FFFFFFFF"/>
      </top>
      <bottom/>
      <diagonal/>
    </border>
    <border>
      <left/>
      <right style="thin">
        <color indexed="64"/>
      </right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thin">
        <color rgb="FFFFFFFF"/>
      </right>
      <top/>
      <bottom/>
      <diagonal/>
    </border>
    <border>
      <left/>
      <right style="thin">
        <color indexed="64"/>
      </right>
      <top style="thin">
        <color rgb="FFFFFFFF"/>
      </top>
      <bottom style="thin">
        <color indexed="64"/>
      </bottom>
      <diagonal/>
    </border>
    <border>
      <left style="thin">
        <color rgb="FFFFFFFF"/>
      </left>
      <right style="thin">
        <color indexed="64"/>
      </right>
      <top style="thin">
        <color rgb="FFFFFFFF"/>
      </top>
      <bottom/>
      <diagonal/>
    </border>
    <border>
      <left style="thin">
        <color indexed="64"/>
      </left>
      <right style="thin">
        <color rgb="FFFFFFFF"/>
      </right>
      <top style="thin">
        <color rgb="FFFFFFFF"/>
      </top>
      <bottom style="thin">
        <color indexed="64"/>
      </bottom>
      <diagonal/>
    </border>
    <border>
      <left style="thin">
        <color rgb="FFFFFFFF"/>
      </left>
      <right style="thin">
        <color indexed="64"/>
      </right>
      <top style="thin">
        <color rgb="FFFFFFFF"/>
      </top>
      <bottom style="thin">
        <color indexed="64"/>
      </bottom>
      <diagonal/>
    </border>
    <border>
      <left style="thin">
        <color indexed="64"/>
      </left>
      <right style="thin">
        <color rgb="FFFFFFFF"/>
      </right>
      <top style="thin">
        <color indexed="64"/>
      </top>
      <bottom/>
      <diagonal/>
    </border>
    <border>
      <left style="thin">
        <color indexed="64"/>
      </left>
      <right style="thin">
        <color rgb="FFFFFFFF"/>
      </right>
      <top/>
      <bottom style="thin">
        <color indexed="64"/>
      </bottom>
      <diagonal/>
    </border>
    <border>
      <left style="thin">
        <color indexed="64"/>
      </left>
      <right style="thin">
        <color rgb="FFFFFFFF"/>
      </right>
      <top style="thin">
        <color indexed="64"/>
      </top>
      <bottom style="thin">
        <color rgb="FFFFFFFF"/>
      </bottom>
      <diagonal/>
    </border>
    <border>
      <left style="thin">
        <color rgb="FFFFFFFF"/>
      </left>
      <right style="thin">
        <color indexed="64"/>
      </right>
      <top style="thin">
        <color indexed="64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5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2" fillId="2" borderId="2" xfId="0" applyFont="1" applyFill="1" applyBorder="1"/>
    <xf numFmtId="0" fontId="1" fillId="0" borderId="1" xfId="0" applyFont="1" applyBorder="1" applyAlignment="1">
      <alignment horizontal="center" wrapText="1"/>
    </xf>
    <xf numFmtId="0" fontId="1" fillId="3" borderId="1" xfId="0" applyFont="1" applyFill="1" applyBorder="1" applyAlignment="1">
      <alignment horizontal="center"/>
    </xf>
    <xf numFmtId="0" fontId="1" fillId="0" borderId="2" xfId="0" applyFont="1" applyBorder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4" fontId="1" fillId="4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4" fontId="4" fillId="5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0" fontId="1" fillId="6" borderId="1" xfId="0" applyFont="1" applyFill="1" applyBorder="1"/>
    <xf numFmtId="164" fontId="1" fillId="2" borderId="1" xfId="0" applyNumberFormat="1" applyFont="1" applyFill="1" applyBorder="1" applyAlignment="1">
      <alignment horizontal="center" vertical="center"/>
    </xf>
    <xf numFmtId="0" fontId="2" fillId="2" borderId="3" xfId="0" applyFont="1" applyFill="1" applyBorder="1"/>
    <xf numFmtId="0" fontId="2" fillId="2" borderId="4" xfId="0" applyFont="1" applyFill="1" applyBorder="1"/>
    <xf numFmtId="0" fontId="1" fillId="3" borderId="8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" fontId="1" fillId="3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4" fontId="4" fillId="5" borderId="5" xfId="0" applyNumberFormat="1" applyFont="1" applyFill="1" applyBorder="1" applyAlignment="1">
      <alignment horizontal="center" vertical="center"/>
    </xf>
    <xf numFmtId="0" fontId="1" fillId="3" borderId="1" xfId="0" applyFont="1" applyFill="1" applyBorder="1"/>
    <xf numFmtId="0" fontId="1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4" fontId="1" fillId="6" borderId="1" xfId="0" applyNumberFormat="1" applyFont="1" applyFill="1" applyBorder="1" applyAlignment="1">
      <alignment horizontal="center" vertical="center"/>
    </xf>
    <xf numFmtId="4" fontId="1" fillId="3" borderId="1" xfId="0" applyNumberFormat="1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 vertical="center"/>
    </xf>
    <xf numFmtId="4" fontId="4" fillId="6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4" fontId="4" fillId="5" borderId="1" xfId="0" applyNumberFormat="1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" fontId="1" fillId="3" borderId="1" xfId="0" applyNumberFormat="1" applyFont="1" applyFill="1" applyBorder="1" applyAlignment="1">
      <alignment horizontal="center" wrapText="1"/>
    </xf>
    <xf numFmtId="4" fontId="1" fillId="4" borderId="1" xfId="0" applyNumberFormat="1" applyFont="1" applyFill="1" applyBorder="1" applyAlignment="1">
      <alignment horizontal="center"/>
    </xf>
    <xf numFmtId="0" fontId="1" fillId="6" borderId="1" xfId="0" applyFont="1" applyFill="1" applyBorder="1" applyAlignment="1">
      <alignment vertical="center" wrapText="1"/>
    </xf>
    <xf numFmtId="4" fontId="1" fillId="3" borderId="1" xfId="0" applyNumberFormat="1" applyFont="1" applyFill="1" applyBorder="1" applyAlignment="1">
      <alignment horizontal="center" vertical="center" wrapText="1"/>
    </xf>
    <xf numFmtId="165" fontId="1" fillId="3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166" fontId="1" fillId="3" borderId="1" xfId="0" applyNumberFormat="1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wrapText="1"/>
    </xf>
    <xf numFmtId="0" fontId="1" fillId="8" borderId="1" xfId="0" applyFont="1" applyFill="1" applyBorder="1" applyAlignment="1">
      <alignment horizontal="center"/>
    </xf>
    <xf numFmtId="4" fontId="1" fillId="8" borderId="1" xfId="0" applyNumberFormat="1" applyFont="1" applyFill="1" applyBorder="1" applyAlignment="1">
      <alignment horizontal="center"/>
    </xf>
    <xf numFmtId="0" fontId="1" fillId="3" borderId="0" xfId="0" applyFont="1" applyFill="1" applyAlignment="1">
      <alignment horizontal="center" wrapText="1"/>
    </xf>
    <xf numFmtId="4" fontId="1" fillId="8" borderId="0" xfId="0" applyNumberFormat="1" applyFont="1" applyFill="1" applyAlignment="1">
      <alignment horizontal="center"/>
    </xf>
    <xf numFmtId="4" fontId="1" fillId="3" borderId="0" xfId="0" applyNumberFormat="1" applyFont="1" applyFill="1" applyAlignment="1">
      <alignment horizontal="center"/>
    </xf>
    <xf numFmtId="4" fontId="1" fillId="0" borderId="0" xfId="0" applyNumberFormat="1" applyFont="1" applyAlignment="1">
      <alignment horizontal="center"/>
    </xf>
    <xf numFmtId="0" fontId="1" fillId="0" borderId="0" xfId="0" applyFont="1" applyAlignment="1">
      <alignment wrapText="1"/>
    </xf>
    <xf numFmtId="0" fontId="1" fillId="0" borderId="4" xfId="0" applyFont="1" applyBorder="1"/>
    <xf numFmtId="0" fontId="1" fillId="0" borderId="7" xfId="0" applyFont="1" applyBorder="1"/>
    <xf numFmtId="0" fontId="6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4" xfId="0" applyFont="1" applyBorder="1"/>
    <xf numFmtId="0" fontId="1" fillId="3" borderId="6" xfId="0" applyFont="1" applyFill="1" applyBorder="1" applyAlignment="1">
      <alignment horizontal="center" vertical="center" wrapText="1"/>
    </xf>
    <xf numFmtId="0" fontId="1" fillId="9" borderId="2" xfId="0" applyFont="1" applyFill="1" applyBorder="1"/>
    <xf numFmtId="0" fontId="1" fillId="9" borderId="1" xfId="0" applyFont="1" applyFill="1" applyBorder="1"/>
    <xf numFmtId="0" fontId="1" fillId="10" borderId="1" xfId="0" applyFont="1" applyFill="1" applyBorder="1"/>
    <xf numFmtId="0" fontId="1" fillId="3" borderId="2" xfId="0" applyFont="1" applyFill="1" applyBorder="1" applyAlignment="1">
      <alignment horizontal="center" wrapText="1"/>
    </xf>
    <xf numFmtId="0" fontId="3" fillId="0" borderId="4" xfId="0" applyFont="1" applyBorder="1"/>
    <xf numFmtId="0" fontId="1" fillId="3" borderId="14" xfId="0" applyFont="1" applyFill="1" applyBorder="1" applyAlignment="1">
      <alignment horizontal="center" vertical="center" wrapText="1"/>
    </xf>
    <xf numFmtId="0" fontId="3" fillId="0" borderId="9" xfId="0" applyFont="1" applyBorder="1"/>
    <xf numFmtId="0" fontId="3" fillId="0" borderId="15" xfId="0" applyFont="1" applyBorder="1"/>
    <xf numFmtId="0" fontId="3" fillId="0" borderId="13" xfId="0" applyFont="1" applyBorder="1"/>
    <xf numFmtId="0" fontId="1" fillId="3" borderId="9" xfId="0" applyFont="1" applyFill="1" applyBorder="1" applyAlignment="1">
      <alignment horizontal="center" vertical="center"/>
    </xf>
    <xf numFmtId="0" fontId="3" fillId="0" borderId="11" xfId="0" applyFont="1" applyBorder="1"/>
    <xf numFmtId="0" fontId="1" fillId="3" borderId="2" xfId="0" applyFont="1" applyFill="1" applyBorder="1" applyAlignment="1">
      <alignment vertical="center"/>
    </xf>
    <xf numFmtId="4" fontId="1" fillId="3" borderId="10" xfId="0" applyNumberFormat="1" applyFont="1" applyFill="1" applyBorder="1" applyAlignment="1">
      <alignment horizontal="center" vertical="center" wrapText="1"/>
    </xf>
    <xf numFmtId="0" fontId="3" fillId="0" borderId="12" xfId="0" applyFont="1" applyBorder="1"/>
    <xf numFmtId="0" fontId="1" fillId="3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wrapText="1"/>
    </xf>
    <xf numFmtId="0" fontId="3" fillId="0" borderId="3" xfId="0" applyFont="1" applyBorder="1"/>
    <xf numFmtId="0" fontId="1" fillId="6" borderId="2" xfId="0" applyFont="1" applyFill="1" applyBorder="1" applyAlignment="1">
      <alignment wrapText="1"/>
    </xf>
    <xf numFmtId="0" fontId="4" fillId="5" borderId="5" xfId="0" applyFont="1" applyFill="1" applyBorder="1" applyAlignment="1">
      <alignment horizontal="center" vertical="center" wrapText="1"/>
    </xf>
    <xf numFmtId="0" fontId="3" fillId="0" borderId="7" xfId="0" applyFont="1" applyBorder="1"/>
    <xf numFmtId="0" fontId="1" fillId="7" borderId="2" xfId="0" applyFont="1" applyFill="1" applyBorder="1" applyAlignment="1">
      <alignment wrapText="1"/>
    </xf>
    <xf numFmtId="0" fontId="2" fillId="2" borderId="2" xfId="0" applyFont="1" applyFill="1" applyBorder="1"/>
    <xf numFmtId="164" fontId="1" fillId="2" borderId="5" xfId="0" applyNumberFormat="1" applyFont="1" applyFill="1" applyBorder="1" applyAlignment="1">
      <alignment horizontal="center" vertical="center"/>
    </xf>
    <xf numFmtId="0" fontId="3" fillId="0" borderId="6" xfId="0" applyFont="1" applyBorder="1"/>
    <xf numFmtId="0" fontId="4" fillId="6" borderId="5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wrapText="1"/>
    </xf>
    <xf numFmtId="0" fontId="1" fillId="8" borderId="2" xfId="0" applyFont="1" applyFill="1" applyBorder="1" applyAlignment="1">
      <alignment horizontal="center"/>
    </xf>
    <xf numFmtId="0" fontId="1" fillId="7" borderId="2" xfId="0" applyFont="1" applyFill="1" applyBorder="1"/>
    <xf numFmtId="0" fontId="1" fillId="0" borderId="2" xfId="0" applyFont="1" applyBorder="1"/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2" borderId="2" xfId="0" applyFont="1" applyFill="1" applyBorder="1" applyAlignment="1">
      <alignment horizontal="center" wrapText="1"/>
    </xf>
    <xf numFmtId="0" fontId="12" fillId="0" borderId="0" xfId="0" applyFont="1"/>
    <xf numFmtId="0" fontId="10" fillId="4" borderId="1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/>
    </xf>
    <xf numFmtId="4" fontId="1" fillId="6" borderId="5" xfId="0" applyNumberFormat="1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 wrapText="1"/>
    </xf>
    <xf numFmtId="4" fontId="4" fillId="6" borderId="7" xfId="0" applyNumberFormat="1" applyFont="1" applyFill="1" applyBorder="1" applyAlignment="1">
      <alignment horizontal="center" vertical="center"/>
    </xf>
    <xf numFmtId="0" fontId="14" fillId="11" borderId="16" xfId="0" applyFont="1" applyFill="1" applyBorder="1" applyAlignment="1">
      <alignment horizontal="center" vertical="center" wrapText="1"/>
    </xf>
    <xf numFmtId="0" fontId="14" fillId="11" borderId="16" xfId="0" applyFont="1" applyFill="1" applyBorder="1" applyAlignment="1">
      <alignment horizontal="center" vertical="center"/>
    </xf>
    <xf numFmtId="4" fontId="14" fillId="11" borderId="16" xfId="0" applyNumberFormat="1" applyFont="1" applyFill="1" applyBorder="1" applyAlignment="1">
      <alignment horizontal="center" vertical="center"/>
    </xf>
    <xf numFmtId="0" fontId="14" fillId="12" borderId="16" xfId="0" applyFont="1" applyFill="1" applyBorder="1"/>
    <xf numFmtId="0" fontId="10" fillId="0" borderId="1" xfId="0" applyFont="1" applyBorder="1" applyAlignment="1">
      <alignment wrapText="1"/>
    </xf>
    <xf numFmtId="0" fontId="10" fillId="0" borderId="1" xfId="0" applyFont="1" applyBorder="1"/>
    <xf numFmtId="0" fontId="13" fillId="0" borderId="1" xfId="0" applyFont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0" fontId="1" fillId="0" borderId="5" xfId="0" applyFont="1" applyBorder="1"/>
    <xf numFmtId="0" fontId="13" fillId="8" borderId="16" xfId="0" applyFont="1" applyFill="1" applyBorder="1" applyAlignment="1">
      <alignment horizontal="center" vertical="center" wrapText="1"/>
    </xf>
    <xf numFmtId="2" fontId="13" fillId="0" borderId="16" xfId="0" applyNumberFormat="1" applyFont="1" applyBorder="1" applyAlignment="1">
      <alignment horizontal="center" vertical="center"/>
    </xf>
    <xf numFmtId="4" fontId="16" fillId="13" borderId="1" xfId="0" applyNumberFormat="1" applyFont="1" applyFill="1" applyBorder="1" applyAlignment="1">
      <alignment horizontal="center"/>
    </xf>
    <xf numFmtId="0" fontId="10" fillId="0" borderId="7" xfId="0" applyFont="1" applyBorder="1"/>
    <xf numFmtId="0" fontId="13" fillId="0" borderId="16" xfId="0" applyFont="1" applyBorder="1" applyAlignment="1">
      <alignment horizontal="center" vertical="center"/>
    </xf>
    <xf numFmtId="0" fontId="1" fillId="6" borderId="4" xfId="0" applyFont="1" applyFill="1" applyBorder="1"/>
    <xf numFmtId="0" fontId="13" fillId="0" borderId="16" xfId="0" applyFont="1" applyBorder="1" applyAlignment="1">
      <alignment horizontal="center" vertical="center" wrapText="1"/>
    </xf>
    <xf numFmtId="0" fontId="13" fillId="2" borderId="17" xfId="0" applyFont="1" applyFill="1" applyBorder="1"/>
    <xf numFmtId="0" fontId="3" fillId="0" borderId="18" xfId="0" applyFont="1" applyBorder="1"/>
    <xf numFmtId="0" fontId="3" fillId="0" borderId="19" xfId="0" applyFont="1" applyBorder="1"/>
    <xf numFmtId="0" fontId="10" fillId="0" borderId="2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6" borderId="25" xfId="0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0" fillId="0" borderId="31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0" fillId="0" borderId="2" xfId="0" applyFont="1" applyBorder="1"/>
    <xf numFmtId="0" fontId="10" fillId="0" borderId="33" xfId="0" applyFont="1" applyBorder="1"/>
    <xf numFmtId="0" fontId="13" fillId="0" borderId="34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3" fillId="2" borderId="17" xfId="0" applyFont="1" applyFill="1" applyBorder="1" applyAlignment="1"/>
    <xf numFmtId="0" fontId="11" fillId="6" borderId="7" xfId="0" applyFont="1" applyFill="1" applyBorder="1" applyAlignment="1">
      <alignment horizontal="center" vertical="center"/>
    </xf>
    <xf numFmtId="0" fontId="10" fillId="12" borderId="1" xfId="0" applyFont="1" applyFill="1" applyBorder="1"/>
    <xf numFmtId="0" fontId="1" fillId="12" borderId="1" xfId="0" applyFont="1" applyFill="1" applyBorder="1"/>
    <xf numFmtId="0" fontId="1" fillId="0" borderId="3" xfId="0" applyFont="1" applyBorder="1"/>
    <xf numFmtId="0" fontId="10" fillId="12" borderId="4" xfId="0" applyFont="1" applyFill="1" applyBorder="1"/>
    <xf numFmtId="0" fontId="13" fillId="0" borderId="13" xfId="0" applyFont="1" applyBorder="1"/>
    <xf numFmtId="0" fontId="13" fillId="12" borderId="16" xfId="0" applyFont="1" applyFill="1" applyBorder="1" applyAlignment="1">
      <alignment horizontal="left"/>
    </xf>
    <xf numFmtId="0" fontId="13" fillId="12" borderId="16" xfId="0" applyFont="1" applyFill="1" applyBorder="1"/>
    <xf numFmtId="0" fontId="10" fillId="14" borderId="20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fill>
        <patternFill patternType="solid">
          <fgColor rgb="FF93C47D"/>
          <bgColor rgb="FF93C47D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93C47D"/>
          <bgColor rgb="FF93C47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 lvl="0">
              <a:defRPr sz="1200" b="0">
                <a:solidFill>
                  <a:srgbClr val="757575"/>
                </a:solidFill>
                <a:latin typeface="+mn-lt"/>
              </a:defRPr>
            </a:pPr>
            <a:r>
              <a:rPr lang="en-US" sz="1200" b="0">
                <a:solidFill>
                  <a:srgbClr val="757575"/>
                </a:solidFill>
                <a:latin typeface="+mn-lt"/>
              </a:rPr>
              <a:t>Tormenta de diseño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'Cálculos (grande)'!$B$32:$B$43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'Cálculos (grande)'!$J$32:$J$43</c:f>
              <c:numCache>
                <c:formatCode>#,##0.00</c:formatCode>
                <c:ptCount val="12"/>
                <c:pt idx="0">
                  <c:v>3.0731797606410822</c:v>
                </c:pt>
                <c:pt idx="1">
                  <c:v>3.4260638564351638</c:v>
                </c:pt>
                <c:pt idx="2">
                  <c:v>3.9205361699284467</c:v>
                </c:pt>
                <c:pt idx="3">
                  <c:v>4.6826269981968167</c:v>
                </c:pt>
                <c:pt idx="4">
                  <c:v>6.0805879031361982</c:v>
                </c:pt>
                <c:pt idx="5">
                  <c:v>10.105916087577565</c:v>
                </c:pt>
                <c:pt idx="6">
                  <c:v>25.95317214764604</c:v>
                </c:pt>
                <c:pt idx="7">
                  <c:v>7.4090337716894012</c:v>
                </c:pt>
                <c:pt idx="8">
                  <c:v>5.2562072271139257</c:v>
                </c:pt>
                <c:pt idx="9">
                  <c:v>4.2548607018245406</c:v>
                </c:pt>
                <c:pt idx="10">
                  <c:v>3.6502489906839912</c:v>
                </c:pt>
                <c:pt idx="11">
                  <c:v>3.236346147014558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527-488C-A385-F51F52EBF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22275926"/>
        <c:axId val="2008382832"/>
      </c:barChart>
      <c:catAx>
        <c:axId val="10222759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419"/>
          </a:p>
        </c:txPr>
        <c:crossAx val="2008382832"/>
        <c:crosses val="autoZero"/>
        <c:auto val="1"/>
        <c:lblAlgn val="ctr"/>
        <c:lblOffset val="100"/>
        <c:noMultiLvlLbl val="1"/>
      </c:catAx>
      <c:valAx>
        <c:axId val="20083828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Precipitación (mm)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419"/>
          </a:p>
        </c:txPr>
        <c:crossAx val="102227592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419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'Cálculos (grande)'!$F$61:$F$63</c:f>
              <c:numCache>
                <c:formatCode>#,##0.00</c:formatCode>
                <c:ptCount val="3"/>
                <c:pt idx="0" formatCode="General">
                  <c:v>0</c:v>
                </c:pt>
                <c:pt idx="1">
                  <c:v>0.94957735722172154</c:v>
                </c:pt>
                <c:pt idx="2">
                  <c:v>2.5325228117103311</c:v>
                </c:pt>
              </c:numCache>
            </c:numRef>
          </c:cat>
          <c:val>
            <c:numRef>
              <c:f>'Cálculos (grande)'!$G$61:$G$63</c:f>
              <c:numCache>
                <c:formatCode>#,##0.00</c:formatCode>
                <c:ptCount val="3"/>
                <c:pt idx="0" formatCode="General">
                  <c:v>0</c:v>
                </c:pt>
                <c:pt idx="1">
                  <c:v>1.7523585491428944</c:v>
                </c:pt>
                <c:pt idx="2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D3-4FAA-A840-D9CC007AC8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819740"/>
        <c:axId val="1638126693"/>
      </c:lineChart>
      <c:catAx>
        <c:axId val="808197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Tiempo (hs)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419"/>
          </a:p>
        </c:txPr>
        <c:crossAx val="1638126693"/>
        <c:crosses val="autoZero"/>
        <c:auto val="1"/>
        <c:lblAlgn val="ctr"/>
        <c:lblOffset val="100"/>
        <c:noMultiLvlLbl val="1"/>
      </c:catAx>
      <c:valAx>
        <c:axId val="16381266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Caudal (m³/s/mm)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419"/>
          </a:p>
        </c:txPr>
        <c:crossAx val="8081974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419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E69138"/>
              </a:solidFill>
              <a:ln cmpd="sng">
                <a:solidFill>
                  <a:srgbClr val="E69138"/>
                </a:solidFill>
              </a:ln>
            </c:spPr>
          </c:marker>
          <c:xVal>
            <c:numRef>
              <c:f>'Cálculos (grande)'!$C$74:$C$172</c:f>
              <c:numCache>
                <c:formatCode>#,##0.00</c:formatCode>
                <c:ptCount val="99"/>
                <c:pt idx="0">
                  <c:v>5.0509433894772422E-2</c:v>
                </c:pt>
                <c:pt idx="1">
                  <c:v>0.10101886778954484</c:v>
                </c:pt>
                <c:pt idx="2">
                  <c:v>0.15152830168431727</c:v>
                </c:pt>
                <c:pt idx="3">
                  <c:v>0.20203773557908969</c:v>
                </c:pt>
                <c:pt idx="4">
                  <c:v>0.25254716947386213</c:v>
                </c:pt>
                <c:pt idx="5">
                  <c:v>0.30305660336863455</c:v>
                </c:pt>
                <c:pt idx="6">
                  <c:v>0.35356603726340696</c:v>
                </c:pt>
                <c:pt idx="7">
                  <c:v>0.40407547115817938</c:v>
                </c:pt>
                <c:pt idx="8">
                  <c:v>0.45458490505295179</c:v>
                </c:pt>
                <c:pt idx="9">
                  <c:v>0.50509433894772426</c:v>
                </c:pt>
                <c:pt idx="10">
                  <c:v>0.55560377284249662</c:v>
                </c:pt>
                <c:pt idx="11">
                  <c:v>0.60611320673726909</c:v>
                </c:pt>
                <c:pt idx="12">
                  <c:v>0.65662264063204145</c:v>
                </c:pt>
                <c:pt idx="13">
                  <c:v>0.70713207452681393</c:v>
                </c:pt>
                <c:pt idx="14">
                  <c:v>0.75764150842158628</c:v>
                </c:pt>
                <c:pt idx="15">
                  <c:v>0.80815094231635876</c:v>
                </c:pt>
                <c:pt idx="16">
                  <c:v>0.85866037621113123</c:v>
                </c:pt>
                <c:pt idx="17">
                  <c:v>0.90916981010590359</c:v>
                </c:pt>
                <c:pt idx="18">
                  <c:v>0.95967924400067606</c:v>
                </c:pt>
                <c:pt idx="19">
                  <c:v>1.0101886778954485</c:v>
                </c:pt>
                <c:pt idx="20">
                  <c:v>1.0606981117902208</c:v>
                </c:pt>
                <c:pt idx="21">
                  <c:v>1.1112075456849932</c:v>
                </c:pt>
                <c:pt idx="22">
                  <c:v>1.1617169795797657</c:v>
                </c:pt>
                <c:pt idx="23">
                  <c:v>1.2122264134745382</c:v>
                </c:pt>
                <c:pt idx="24">
                  <c:v>1.2627358473693107</c:v>
                </c:pt>
                <c:pt idx="25">
                  <c:v>1.3132452812640829</c:v>
                </c:pt>
                <c:pt idx="26">
                  <c:v>1.3637547151588554</c:v>
                </c:pt>
                <c:pt idx="27">
                  <c:v>1.4142641490536279</c:v>
                </c:pt>
                <c:pt idx="28">
                  <c:v>1.4647735829484003</c:v>
                </c:pt>
                <c:pt idx="29">
                  <c:v>1.5152830168431726</c:v>
                </c:pt>
                <c:pt idx="30">
                  <c:v>1.565792450737945</c:v>
                </c:pt>
                <c:pt idx="31">
                  <c:v>1.6163018846327175</c:v>
                </c:pt>
                <c:pt idx="32">
                  <c:v>1.66681131852749</c:v>
                </c:pt>
                <c:pt idx="33">
                  <c:v>1.7173207524222625</c:v>
                </c:pt>
                <c:pt idx="34">
                  <c:v>1.7678301863170347</c:v>
                </c:pt>
                <c:pt idx="35">
                  <c:v>1.8183396202118072</c:v>
                </c:pt>
                <c:pt idx="36">
                  <c:v>1.8688490541065796</c:v>
                </c:pt>
                <c:pt idx="37">
                  <c:v>1.9193584880013521</c:v>
                </c:pt>
                <c:pt idx="38">
                  <c:v>1.9698679218961244</c:v>
                </c:pt>
                <c:pt idx="39">
                  <c:v>2.0203773557908971</c:v>
                </c:pt>
                <c:pt idx="40">
                  <c:v>2.0708867896856695</c:v>
                </c:pt>
                <c:pt idx="41">
                  <c:v>2.1213962235804416</c:v>
                </c:pt>
                <c:pt idx="42">
                  <c:v>2.171905657475214</c:v>
                </c:pt>
                <c:pt idx="43">
                  <c:v>2.2224150913699865</c:v>
                </c:pt>
                <c:pt idx="44">
                  <c:v>2.272924525264759</c:v>
                </c:pt>
                <c:pt idx="45">
                  <c:v>2.3234339591595314</c:v>
                </c:pt>
                <c:pt idx="46">
                  <c:v>2.3739433930543039</c:v>
                </c:pt>
                <c:pt idx="47">
                  <c:v>2.4244528269490764</c:v>
                </c:pt>
                <c:pt idx="48">
                  <c:v>2.4749622608438488</c:v>
                </c:pt>
                <c:pt idx="49">
                  <c:v>2.5254716947386213</c:v>
                </c:pt>
                <c:pt idx="50">
                  <c:v>2.5759811286333933</c:v>
                </c:pt>
                <c:pt idx="51">
                  <c:v>2.6264905625281658</c:v>
                </c:pt>
                <c:pt idx="52">
                  <c:v>2.6769999964229383</c:v>
                </c:pt>
                <c:pt idx="53">
                  <c:v>2.7275094303177108</c:v>
                </c:pt>
                <c:pt idx="54">
                  <c:v>2.7780188642124832</c:v>
                </c:pt>
                <c:pt idx="55">
                  <c:v>2.8285282981072557</c:v>
                </c:pt>
                <c:pt idx="56">
                  <c:v>2.8790377320020282</c:v>
                </c:pt>
                <c:pt idx="57">
                  <c:v>2.9295471658968006</c:v>
                </c:pt>
                <c:pt idx="58">
                  <c:v>2.9800565997915731</c:v>
                </c:pt>
                <c:pt idx="59">
                  <c:v>3.0305660336863451</c:v>
                </c:pt>
                <c:pt idx="60">
                  <c:v>3.0810754675811176</c:v>
                </c:pt>
                <c:pt idx="61">
                  <c:v>3.1315849014758901</c:v>
                </c:pt>
                <c:pt idx="62">
                  <c:v>3.1820943353706626</c:v>
                </c:pt>
                <c:pt idx="63">
                  <c:v>3.232603769265435</c:v>
                </c:pt>
                <c:pt idx="64">
                  <c:v>3.2831132031602075</c:v>
                </c:pt>
                <c:pt idx="65">
                  <c:v>3.33362263705498</c:v>
                </c:pt>
                <c:pt idx="66">
                  <c:v>3.3841320709497524</c:v>
                </c:pt>
                <c:pt idx="67">
                  <c:v>3.4346415048445249</c:v>
                </c:pt>
                <c:pt idx="68">
                  <c:v>3.4851509387392969</c:v>
                </c:pt>
                <c:pt idx="69">
                  <c:v>3.5356603726340694</c:v>
                </c:pt>
                <c:pt idx="70">
                  <c:v>3.5861698065288419</c:v>
                </c:pt>
                <c:pt idx="71">
                  <c:v>3.6366792404236143</c:v>
                </c:pt>
                <c:pt idx="72">
                  <c:v>3.6871886743183868</c:v>
                </c:pt>
                <c:pt idx="73">
                  <c:v>3.7376981082131593</c:v>
                </c:pt>
                <c:pt idx="74">
                  <c:v>3.7882075421079318</c:v>
                </c:pt>
                <c:pt idx="75">
                  <c:v>3.8387169760027042</c:v>
                </c:pt>
                <c:pt idx="76">
                  <c:v>3.8892264098974767</c:v>
                </c:pt>
                <c:pt idx="77">
                  <c:v>3.9397358437922487</c:v>
                </c:pt>
                <c:pt idx="78">
                  <c:v>3.9902452776870212</c:v>
                </c:pt>
                <c:pt idx="79">
                  <c:v>4.0407547115817941</c:v>
                </c:pt>
                <c:pt idx="80">
                  <c:v>4.0912641454765666</c:v>
                </c:pt>
                <c:pt idx="81">
                  <c:v>4.1417735793713391</c:v>
                </c:pt>
                <c:pt idx="82">
                  <c:v>4.1922830132661106</c:v>
                </c:pt>
                <c:pt idx="83">
                  <c:v>4.2427924471608831</c:v>
                </c:pt>
                <c:pt idx="84">
                  <c:v>4.2933018810556556</c:v>
                </c:pt>
                <c:pt idx="85">
                  <c:v>4.343811314950428</c:v>
                </c:pt>
                <c:pt idx="86">
                  <c:v>4.3943207488452005</c:v>
                </c:pt>
                <c:pt idx="87">
                  <c:v>4.444830182739973</c:v>
                </c:pt>
                <c:pt idx="88">
                  <c:v>4.4953396166347455</c:v>
                </c:pt>
                <c:pt idx="89">
                  <c:v>4.5458490505295179</c:v>
                </c:pt>
                <c:pt idx="90">
                  <c:v>4.5963584844242904</c:v>
                </c:pt>
                <c:pt idx="91">
                  <c:v>4.6468679183190629</c:v>
                </c:pt>
                <c:pt idx="92">
                  <c:v>4.6973773522138353</c:v>
                </c:pt>
                <c:pt idx="93">
                  <c:v>4.7478867861086078</c:v>
                </c:pt>
                <c:pt idx="94">
                  <c:v>4.7983962200033803</c:v>
                </c:pt>
                <c:pt idx="95">
                  <c:v>4.8489056538981528</c:v>
                </c:pt>
                <c:pt idx="96">
                  <c:v>4.8994150877929252</c:v>
                </c:pt>
                <c:pt idx="97">
                  <c:v>4.9499245216876977</c:v>
                </c:pt>
                <c:pt idx="98">
                  <c:v>5.0004339555824702</c:v>
                </c:pt>
              </c:numCache>
            </c:numRef>
          </c:xVal>
          <c:yVal>
            <c:numRef>
              <c:f>'Cálculos (grande)'!$Q$74:$Q$172</c:f>
              <c:numCache>
                <c:formatCode>#,##0.00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5.449637971013107E-2</c:v>
                </c:pt>
                <c:pt idx="21">
                  <c:v>0.10899275942026214</c:v>
                </c:pt>
                <c:pt idx="22">
                  <c:v>0.16348913913039323</c:v>
                </c:pt>
                <c:pt idx="23">
                  <c:v>0.21798551884052428</c:v>
                </c:pt>
                <c:pt idx="24">
                  <c:v>0.96139934589916787</c:v>
                </c:pt>
                <c:pt idx="25">
                  <c:v>1.7048131729578113</c:v>
                </c:pt>
                <c:pt idx="26">
                  <c:v>2.4482270000164554</c:v>
                </c:pt>
                <c:pt idx="27">
                  <c:v>3.1916408270750982</c:v>
                </c:pt>
                <c:pt idx="28">
                  <c:v>4.2373948004350712</c:v>
                </c:pt>
                <c:pt idx="29">
                  <c:v>5.2831487737950429</c:v>
                </c:pt>
                <c:pt idx="30">
                  <c:v>6.3289027471550154</c:v>
                </c:pt>
                <c:pt idx="31">
                  <c:v>7.3746567205149871</c:v>
                </c:pt>
                <c:pt idx="32">
                  <c:v>8.656541757091043</c:v>
                </c:pt>
                <c:pt idx="33">
                  <c:v>9.938426793667098</c:v>
                </c:pt>
                <c:pt idx="34">
                  <c:v>11.220311830243151</c:v>
                </c:pt>
                <c:pt idx="35">
                  <c:v>12.50219686681921</c:v>
                </c:pt>
                <c:pt idx="36">
                  <c:v>13.987038495170921</c:v>
                </c:pt>
                <c:pt idx="37">
                  <c:v>15.471880123522642</c:v>
                </c:pt>
                <c:pt idx="38">
                  <c:v>16.939284218018695</c:v>
                </c:pt>
                <c:pt idx="39">
                  <c:v>18.336938177092119</c:v>
                </c:pt>
                <c:pt idx="40">
                  <c:v>19.916474587518127</c:v>
                </c:pt>
                <c:pt idx="41">
                  <c:v>21.496010997944136</c:v>
                </c:pt>
                <c:pt idx="42">
                  <c:v>22.85511035593122</c:v>
                </c:pt>
                <c:pt idx="43">
                  <c:v>23.332461504162577</c:v>
                </c:pt>
                <c:pt idx="44">
                  <c:v>23.976681756391194</c:v>
                </c:pt>
                <c:pt idx="45">
                  <c:v>24.620902008619808</c:v>
                </c:pt>
                <c:pt idx="46">
                  <c:v>25.168380668744565</c:v>
                </c:pt>
                <c:pt idx="47">
                  <c:v>25.328892960453892</c:v>
                </c:pt>
                <c:pt idx="48">
                  <c:v>25.489405252163227</c:v>
                </c:pt>
                <c:pt idx="49">
                  <c:v>25.649917543872562</c:v>
                </c:pt>
                <c:pt idx="50">
                  <c:v>25.734873561365056</c:v>
                </c:pt>
                <c:pt idx="51">
                  <c:v>25.517604481990233</c:v>
                </c:pt>
                <c:pt idx="52">
                  <c:v>25.300335402615403</c:v>
                </c:pt>
                <c:pt idx="53">
                  <c:v>25.083066323240576</c:v>
                </c:pt>
                <c:pt idx="54">
                  <c:v>24.800856004481744</c:v>
                </c:pt>
                <c:pt idx="55">
                  <c:v>24.258880728186881</c:v>
                </c:pt>
                <c:pt idx="56">
                  <c:v>23.716905451892025</c:v>
                </c:pt>
                <c:pt idx="57">
                  <c:v>23.174930175597172</c:v>
                </c:pt>
                <c:pt idx="58">
                  <c:v>22.57475687917546</c:v>
                </c:pt>
                <c:pt idx="59">
                  <c:v>21.741791502246311</c:v>
                </c:pt>
                <c:pt idx="60">
                  <c:v>20.908826125317166</c:v>
                </c:pt>
                <c:pt idx="61">
                  <c:v>20.075860748388024</c:v>
                </c:pt>
                <c:pt idx="62">
                  <c:v>19.189501262237442</c:v>
                </c:pt>
                <c:pt idx="63">
                  <c:v>18.089565339201108</c:v>
                </c:pt>
                <c:pt idx="64">
                  <c:v>16.989629416164782</c:v>
                </c:pt>
                <c:pt idx="65">
                  <c:v>15.889693493128458</c:v>
                </c:pt>
                <c:pt idx="66">
                  <c:v>14.789757570092126</c:v>
                </c:pt>
                <c:pt idx="67">
                  <c:v>13.689821647055794</c:v>
                </c:pt>
                <c:pt idx="68">
                  <c:v>12.589885724019462</c:v>
                </c:pt>
                <c:pt idx="69">
                  <c:v>11.489949800983137</c:v>
                </c:pt>
                <c:pt idx="70">
                  <c:v>10.418141463491256</c:v>
                </c:pt>
                <c:pt idx="71">
                  <c:v>9.350896830023089</c:v>
                </c:pt>
                <c:pt idx="72">
                  <c:v>8.2836521965549252</c:v>
                </c:pt>
                <c:pt idx="73">
                  <c:v>7.216407563086765</c:v>
                </c:pt>
                <c:pt idx="74">
                  <c:v>6.5047385575122192</c:v>
                </c:pt>
                <c:pt idx="75">
                  <c:v>5.850761738890192</c:v>
                </c:pt>
                <c:pt idx="76">
                  <c:v>5.1967849202681649</c:v>
                </c:pt>
                <c:pt idx="77">
                  <c:v>4.5428081016461412</c:v>
                </c:pt>
                <c:pt idx="78">
                  <c:v>4.0448801503772431</c:v>
                </c:pt>
                <c:pt idx="79">
                  <c:v>3.5722711459731702</c:v>
                </c:pt>
                <c:pt idx="80">
                  <c:v>3.0996621415690968</c:v>
                </c:pt>
                <c:pt idx="81">
                  <c:v>2.6270531371650265</c:v>
                </c:pt>
                <c:pt idx="82">
                  <c:v>2.2763200576506475</c:v>
                </c:pt>
                <c:pt idx="83">
                  <c:v>1.9453613611146499</c:v>
                </c:pt>
                <c:pt idx="84">
                  <c:v>1.6144026645786536</c:v>
                </c:pt>
                <c:pt idx="85">
                  <c:v>1.2834439680426588</c:v>
                </c:pt>
                <c:pt idx="86">
                  <c:v>1.057238631772877</c:v>
                </c:pt>
                <c:pt idx="87">
                  <c:v>0.84802954038124845</c:v>
                </c:pt>
                <c:pt idx="88">
                  <c:v>0.63882044898961987</c:v>
                </c:pt>
                <c:pt idx="89">
                  <c:v>0.42961135759799213</c:v>
                </c:pt>
                <c:pt idx="90">
                  <c:v>0.31427848764833738</c:v>
                </c:pt>
                <c:pt idx="91">
                  <c:v>0.2141770455384063</c:v>
                </c:pt>
                <c:pt idx="92">
                  <c:v>0.11407560342847604</c:v>
                </c:pt>
                <c:pt idx="93">
                  <c:v>1.3974161318545784E-2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4D-4E22-9BB9-B1EE80B6A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5640835"/>
        <c:axId val="83028926"/>
      </c:scatterChart>
      <c:valAx>
        <c:axId val="155564083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Duración (hs)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419"/>
          </a:p>
        </c:txPr>
        <c:crossAx val="83028926"/>
        <c:crosses val="autoZero"/>
        <c:crossBetween val="midCat"/>
      </c:valAx>
      <c:valAx>
        <c:axId val="830289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Caudal de salida (m³/s)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419"/>
          </a:p>
        </c:txPr>
        <c:crossAx val="1555640835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419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'Cálculos (chica)'!$B$32:$B$43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'Cálculos (chica)'!$J$32:$J$43</c:f>
              <c:numCache>
                <c:formatCode>#,##0.00</c:formatCode>
                <c:ptCount val="12"/>
                <c:pt idx="0">
                  <c:v>2.3471801156001959</c:v>
                </c:pt>
                <c:pt idx="1">
                  <c:v>2.6170842714009055</c:v>
                </c:pt>
                <c:pt idx="2">
                  <c:v>2.995460491284291</c:v>
                </c:pt>
                <c:pt idx="3">
                  <c:v>3.5790519215085936</c:v>
                </c:pt>
                <c:pt idx="4">
                  <c:v>4.6510048242539384</c:v>
                </c:pt>
                <c:pt idx="5">
                  <c:v>7.7474245428362423</c:v>
                </c:pt>
                <c:pt idx="6">
                  <c:v>19.60244479692652</c:v>
                </c:pt>
                <c:pt idx="7">
                  <c:v>5.6713781737308508</c:v>
                </c:pt>
                <c:pt idx="8">
                  <c:v>4.0186451681167341</c:v>
                </c:pt>
                <c:pt idx="9">
                  <c:v>3.2514126959662377</c:v>
                </c:pt>
                <c:pt idx="10">
                  <c:v>2.7886071014246738</c:v>
                </c:pt>
                <c:pt idx="11">
                  <c:v>2.4719655160552492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F8F-4544-8FB1-E95DFFD9B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93629724"/>
        <c:axId val="1266689056"/>
      </c:barChart>
      <c:catAx>
        <c:axId val="16936297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419"/>
          </a:p>
        </c:txPr>
        <c:crossAx val="1266689056"/>
        <c:crosses val="autoZero"/>
        <c:auto val="1"/>
        <c:lblAlgn val="ctr"/>
        <c:lblOffset val="100"/>
        <c:noMultiLvlLbl val="1"/>
      </c:catAx>
      <c:valAx>
        <c:axId val="12666890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Precipitación (mm)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419"/>
          </a:p>
        </c:txPr>
        <c:crossAx val="169362972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419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'Cálculos (chica)'!$F$61:$F$63</c:f>
              <c:numCache>
                <c:formatCode>#,##0.00</c:formatCode>
                <c:ptCount val="3"/>
                <c:pt idx="0" formatCode="General">
                  <c:v>0</c:v>
                </c:pt>
                <c:pt idx="1">
                  <c:v>0.80050160249413838</c:v>
                </c:pt>
                <c:pt idx="2">
                  <c:v>2.1349377738518669</c:v>
                </c:pt>
              </c:numCache>
            </c:numRef>
          </c:cat>
          <c:val>
            <c:numRef>
              <c:f>'Cálculos (chica)'!$G$61:$G$63</c:f>
              <c:numCache>
                <c:formatCode>#,##0.00</c:formatCode>
                <c:ptCount val="3"/>
                <c:pt idx="0" formatCode="General">
                  <c:v>0</c:v>
                </c:pt>
                <c:pt idx="1">
                  <c:v>2.1566477751212765</c:v>
                </c:pt>
                <c:pt idx="2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55-4BA2-8922-657C247C5A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7563803"/>
        <c:axId val="2046423230"/>
      </c:lineChart>
      <c:catAx>
        <c:axId val="14675638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419" b="0">
                    <a:solidFill>
                      <a:srgbClr val="000000"/>
                    </a:solidFill>
                    <a:latin typeface="+mn-lt"/>
                  </a:rPr>
                  <a:t>Tiempo (hs)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419"/>
          </a:p>
        </c:txPr>
        <c:crossAx val="2046423230"/>
        <c:crosses val="autoZero"/>
        <c:auto val="1"/>
        <c:lblAlgn val="ctr"/>
        <c:lblOffset val="100"/>
        <c:noMultiLvlLbl val="1"/>
      </c:catAx>
      <c:valAx>
        <c:axId val="20464232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419" b="0">
                    <a:solidFill>
                      <a:srgbClr val="000000"/>
                    </a:solidFill>
                    <a:latin typeface="+mn-lt"/>
                  </a:rPr>
                  <a:t>Caudal (m³/s/mm)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419"/>
          </a:p>
        </c:txPr>
        <c:crossAx val="146756380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419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E69138"/>
              </a:solidFill>
              <a:ln cmpd="sng">
                <a:solidFill>
                  <a:srgbClr val="E69138"/>
                </a:solidFill>
              </a:ln>
            </c:spPr>
          </c:marker>
          <c:xVal>
            <c:numRef>
              <c:f>'Cálculos (chica)'!$C$74:$C$172</c:f>
              <c:numCache>
                <c:formatCode>#,##0.00</c:formatCode>
                <c:ptCount val="99"/>
                <c:pt idx="0">
                  <c:v>4.2579872473092466E-2</c:v>
                </c:pt>
                <c:pt idx="1">
                  <c:v>8.5159744946184932E-2</c:v>
                </c:pt>
                <c:pt idx="2">
                  <c:v>0.12773961741927739</c:v>
                </c:pt>
                <c:pt idx="3">
                  <c:v>0.17031948989236986</c:v>
                </c:pt>
                <c:pt idx="4">
                  <c:v>0.21289936236546234</c:v>
                </c:pt>
                <c:pt idx="5">
                  <c:v>0.25547923483855478</c:v>
                </c:pt>
                <c:pt idx="6">
                  <c:v>0.29805910731164725</c:v>
                </c:pt>
                <c:pt idx="7">
                  <c:v>0.34063897978473973</c:v>
                </c:pt>
                <c:pt idx="8">
                  <c:v>0.3832188522578322</c:v>
                </c:pt>
                <c:pt idx="9">
                  <c:v>0.42579872473092467</c:v>
                </c:pt>
                <c:pt idx="10">
                  <c:v>0.46837859720401714</c:v>
                </c:pt>
                <c:pt idx="11">
                  <c:v>0.51095846967710956</c:v>
                </c:pt>
                <c:pt idx="12">
                  <c:v>0.55353834215020203</c:v>
                </c:pt>
                <c:pt idx="13">
                  <c:v>0.59611821462329451</c:v>
                </c:pt>
                <c:pt idx="14">
                  <c:v>0.63869808709638698</c:v>
                </c:pt>
                <c:pt idx="15">
                  <c:v>0.68127795956947945</c:v>
                </c:pt>
                <c:pt idx="16">
                  <c:v>0.72385783204257192</c:v>
                </c:pt>
                <c:pt idx="17">
                  <c:v>0.7664377045156644</c:v>
                </c:pt>
                <c:pt idx="18">
                  <c:v>0.80901757698875687</c:v>
                </c:pt>
                <c:pt idx="19">
                  <c:v>0.85159744946184934</c:v>
                </c:pt>
                <c:pt idx="20">
                  <c:v>0.89417732193494182</c:v>
                </c:pt>
                <c:pt idx="21">
                  <c:v>0.93675719440803429</c:v>
                </c:pt>
                <c:pt idx="22">
                  <c:v>0.97933706688112676</c:v>
                </c:pt>
                <c:pt idx="23">
                  <c:v>1.0219169393542191</c:v>
                </c:pt>
                <c:pt idx="24">
                  <c:v>1.0644968118273117</c:v>
                </c:pt>
                <c:pt idx="25">
                  <c:v>1.1070766843004041</c:v>
                </c:pt>
                <c:pt idx="26">
                  <c:v>1.1496565567734967</c:v>
                </c:pt>
                <c:pt idx="27">
                  <c:v>1.192236429246589</c:v>
                </c:pt>
                <c:pt idx="28">
                  <c:v>1.2348163017196816</c:v>
                </c:pt>
                <c:pt idx="29">
                  <c:v>1.277396174192774</c:v>
                </c:pt>
                <c:pt idx="30">
                  <c:v>1.3199760466658665</c:v>
                </c:pt>
                <c:pt idx="31">
                  <c:v>1.3625559191389589</c:v>
                </c:pt>
                <c:pt idx="32">
                  <c:v>1.4051357916120513</c:v>
                </c:pt>
                <c:pt idx="33">
                  <c:v>1.4477156640851438</c:v>
                </c:pt>
                <c:pt idx="34">
                  <c:v>1.4902955365582362</c:v>
                </c:pt>
                <c:pt idx="35">
                  <c:v>1.5328754090313288</c:v>
                </c:pt>
                <c:pt idx="36">
                  <c:v>1.5754552815044212</c:v>
                </c:pt>
                <c:pt idx="37">
                  <c:v>1.6180351539775137</c:v>
                </c:pt>
                <c:pt idx="38">
                  <c:v>1.6606150264506061</c:v>
                </c:pt>
                <c:pt idx="39">
                  <c:v>1.7031948989236987</c:v>
                </c:pt>
                <c:pt idx="40">
                  <c:v>1.745774771396791</c:v>
                </c:pt>
                <c:pt idx="41">
                  <c:v>1.7883546438698836</c:v>
                </c:pt>
                <c:pt idx="42">
                  <c:v>1.830934516342976</c:v>
                </c:pt>
                <c:pt idx="43">
                  <c:v>1.8735143888160686</c:v>
                </c:pt>
                <c:pt idx="44">
                  <c:v>1.9160942612891609</c:v>
                </c:pt>
                <c:pt idx="45">
                  <c:v>1.9586741337622535</c:v>
                </c:pt>
                <c:pt idx="46">
                  <c:v>2.0012540062353459</c:v>
                </c:pt>
                <c:pt idx="47">
                  <c:v>2.0438338787084382</c:v>
                </c:pt>
                <c:pt idx="48">
                  <c:v>2.0864137511815306</c:v>
                </c:pt>
                <c:pt idx="49">
                  <c:v>2.1289936236546234</c:v>
                </c:pt>
                <c:pt idx="50">
                  <c:v>2.1715734961277158</c:v>
                </c:pt>
                <c:pt idx="51">
                  <c:v>2.2141533686008081</c:v>
                </c:pt>
                <c:pt idx="52">
                  <c:v>2.2567332410739005</c:v>
                </c:pt>
                <c:pt idx="53">
                  <c:v>2.2993131135469933</c:v>
                </c:pt>
                <c:pt idx="54">
                  <c:v>2.3418929860200857</c:v>
                </c:pt>
                <c:pt idx="55">
                  <c:v>2.384472858493178</c:v>
                </c:pt>
                <c:pt idx="56">
                  <c:v>2.4270527309662704</c:v>
                </c:pt>
                <c:pt idx="57">
                  <c:v>2.4696326034393632</c:v>
                </c:pt>
                <c:pt idx="58">
                  <c:v>2.5122124759124556</c:v>
                </c:pt>
                <c:pt idx="59">
                  <c:v>2.5547923483855479</c:v>
                </c:pt>
                <c:pt idx="60">
                  <c:v>2.5973722208586403</c:v>
                </c:pt>
                <c:pt idx="61">
                  <c:v>2.6399520933317331</c:v>
                </c:pt>
                <c:pt idx="62">
                  <c:v>2.6825319658048254</c:v>
                </c:pt>
                <c:pt idx="63">
                  <c:v>2.7251118382779178</c:v>
                </c:pt>
                <c:pt idx="64">
                  <c:v>2.7676917107510102</c:v>
                </c:pt>
                <c:pt idx="65">
                  <c:v>2.8102715832241025</c:v>
                </c:pt>
                <c:pt idx="66">
                  <c:v>2.8528514556971953</c:v>
                </c:pt>
                <c:pt idx="67">
                  <c:v>2.8954313281702877</c:v>
                </c:pt>
                <c:pt idx="68">
                  <c:v>2.9380112006433801</c:v>
                </c:pt>
                <c:pt idx="69">
                  <c:v>2.9805910731164724</c:v>
                </c:pt>
                <c:pt idx="70">
                  <c:v>3.0231709455895652</c:v>
                </c:pt>
                <c:pt idx="71">
                  <c:v>3.0657508180626576</c:v>
                </c:pt>
                <c:pt idx="72">
                  <c:v>3.10833069053575</c:v>
                </c:pt>
                <c:pt idx="73">
                  <c:v>3.1509105630088423</c:v>
                </c:pt>
                <c:pt idx="74">
                  <c:v>3.1934904354819351</c:v>
                </c:pt>
                <c:pt idx="75">
                  <c:v>3.2360703079550275</c:v>
                </c:pt>
                <c:pt idx="76">
                  <c:v>3.2786501804281198</c:v>
                </c:pt>
                <c:pt idx="77">
                  <c:v>3.3212300529012122</c:v>
                </c:pt>
                <c:pt idx="78">
                  <c:v>3.363809925374305</c:v>
                </c:pt>
                <c:pt idx="79">
                  <c:v>3.4063897978473974</c:v>
                </c:pt>
                <c:pt idx="80">
                  <c:v>3.4489696703204897</c:v>
                </c:pt>
                <c:pt idx="81">
                  <c:v>3.4915495427935821</c:v>
                </c:pt>
                <c:pt idx="82">
                  <c:v>3.5341294152666745</c:v>
                </c:pt>
                <c:pt idx="83">
                  <c:v>3.5767092877397673</c:v>
                </c:pt>
                <c:pt idx="84">
                  <c:v>3.6192891602128596</c:v>
                </c:pt>
                <c:pt idx="85">
                  <c:v>3.661869032685952</c:v>
                </c:pt>
                <c:pt idx="86">
                  <c:v>3.7044489051590443</c:v>
                </c:pt>
                <c:pt idx="87">
                  <c:v>3.7470287776321372</c:v>
                </c:pt>
                <c:pt idx="88">
                  <c:v>3.7896086501052295</c:v>
                </c:pt>
                <c:pt idx="89">
                  <c:v>3.8321885225783219</c:v>
                </c:pt>
                <c:pt idx="90">
                  <c:v>3.8747683950514142</c:v>
                </c:pt>
                <c:pt idx="91">
                  <c:v>3.917348267524507</c:v>
                </c:pt>
                <c:pt idx="92">
                  <c:v>3.9599281399975994</c:v>
                </c:pt>
                <c:pt idx="93">
                  <c:v>4.0025080124706918</c:v>
                </c:pt>
                <c:pt idx="94">
                  <c:v>4.0450878849437846</c:v>
                </c:pt>
                <c:pt idx="95">
                  <c:v>4.0876677574168765</c:v>
                </c:pt>
                <c:pt idx="96">
                  <c:v>4.1302476298899693</c:v>
                </c:pt>
                <c:pt idx="97">
                  <c:v>4.1728275023630612</c:v>
                </c:pt>
                <c:pt idx="98">
                  <c:v>4.215407374836154</c:v>
                </c:pt>
              </c:numCache>
            </c:numRef>
          </c:xVal>
          <c:yVal>
            <c:numRef>
              <c:f>'Cálculos (chica)'!$Q$74:$Q$172</c:f>
              <c:numCache>
                <c:formatCode>#,##0.00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7.6500273026789307E-3</c:v>
                </c:pt>
                <c:pt idx="17">
                  <c:v>1.5300054605357861E-2</c:v>
                </c:pt>
                <c:pt idx="18">
                  <c:v>2.2950081908036792E-2</c:v>
                </c:pt>
                <c:pt idx="19">
                  <c:v>3.0600109210715723E-2</c:v>
                </c:pt>
                <c:pt idx="20">
                  <c:v>0.17245568494770777</c:v>
                </c:pt>
                <c:pt idx="21">
                  <c:v>0.31431126068469983</c:v>
                </c:pt>
                <c:pt idx="22">
                  <c:v>0.45616683642169187</c:v>
                </c:pt>
                <c:pt idx="23">
                  <c:v>0.5980224121586839</c:v>
                </c:pt>
                <c:pt idx="24">
                  <c:v>1.6040901570176103</c:v>
                </c:pt>
                <c:pt idx="25">
                  <c:v>2.6101579018765366</c:v>
                </c:pt>
                <c:pt idx="26">
                  <c:v>3.616225646735463</c:v>
                </c:pt>
                <c:pt idx="27">
                  <c:v>4.6222933915943898</c:v>
                </c:pt>
                <c:pt idx="28">
                  <c:v>5.9746325381982821</c:v>
                </c:pt>
                <c:pt idx="29">
                  <c:v>7.3269716848021744</c:v>
                </c:pt>
                <c:pt idx="30">
                  <c:v>8.6793108314060685</c:v>
                </c:pt>
                <c:pt idx="31">
                  <c:v>10.031649978009961</c:v>
                </c:pt>
                <c:pt idx="32">
                  <c:v>11.648483946180129</c:v>
                </c:pt>
                <c:pt idx="33">
                  <c:v>13.2653179143503</c:v>
                </c:pt>
                <c:pt idx="34">
                  <c:v>14.879704057347551</c:v>
                </c:pt>
                <c:pt idx="35">
                  <c:v>16.484298899653147</c:v>
                </c:pt>
                <c:pt idx="36">
                  <c:v>18.313169204657186</c:v>
                </c:pt>
                <c:pt idx="37">
                  <c:v>20.14203950966122</c:v>
                </c:pt>
                <c:pt idx="38">
                  <c:v>21.927967259455379</c:v>
                </c:pt>
                <c:pt idx="39">
                  <c:v>23.542124788410042</c:v>
                </c:pt>
                <c:pt idx="40">
                  <c:v>25.355318561775075</c:v>
                </c:pt>
                <c:pt idx="41">
                  <c:v>27.168512335140104</c:v>
                </c:pt>
                <c:pt idx="42">
                  <c:v>28.705178951330794</c:v>
                </c:pt>
                <c:pt idx="43">
                  <c:v>29.135736938824081</c:v>
                </c:pt>
                <c:pt idx="44">
                  <c:v>29.747518342962955</c:v>
                </c:pt>
                <c:pt idx="45">
                  <c:v>30.359299747101844</c:v>
                </c:pt>
                <c:pt idx="46">
                  <c:v>30.860282611534213</c:v>
                </c:pt>
                <c:pt idx="47">
                  <c:v>30.918071317140512</c:v>
                </c:pt>
                <c:pt idx="48">
                  <c:v>30.975860022746804</c:v>
                </c:pt>
                <c:pt idx="49">
                  <c:v>31.0336487283531</c:v>
                </c:pt>
                <c:pt idx="50">
                  <c:v>31.006805437664582</c:v>
                </c:pt>
                <c:pt idx="51">
                  <c:v>30.641434161796816</c:v>
                </c:pt>
                <c:pt idx="52">
                  <c:v>30.276062885929047</c:v>
                </c:pt>
                <c:pt idx="53">
                  <c:v>29.910691610061281</c:v>
                </c:pt>
                <c:pt idx="54">
                  <c:v>29.473557567664816</c:v>
                </c:pt>
                <c:pt idx="55">
                  <c:v>28.74937245915353</c:v>
                </c:pt>
                <c:pt idx="56">
                  <c:v>28.025187350642252</c:v>
                </c:pt>
                <c:pt idx="57">
                  <c:v>27.30100224213097</c:v>
                </c:pt>
                <c:pt idx="58">
                  <c:v>26.513130311323057</c:v>
                </c:pt>
                <c:pt idx="59">
                  <c:v>25.470511091328586</c:v>
                </c:pt>
                <c:pt idx="60">
                  <c:v>24.427891871334118</c:v>
                </c:pt>
                <c:pt idx="61">
                  <c:v>23.385272651339648</c:v>
                </c:pt>
                <c:pt idx="62">
                  <c:v>22.284666286510891</c:v>
                </c:pt>
                <c:pt idx="63">
                  <c:v>20.952111342344971</c:v>
                </c:pt>
                <c:pt idx="64">
                  <c:v>19.619556398179064</c:v>
                </c:pt>
                <c:pt idx="65">
                  <c:v>18.287001454013144</c:v>
                </c:pt>
                <c:pt idx="66">
                  <c:v>16.958394970249884</c:v>
                </c:pt>
                <c:pt idx="67">
                  <c:v>15.630429124645865</c:v>
                </c:pt>
                <c:pt idx="68">
                  <c:v>14.302463279041847</c:v>
                </c:pt>
                <c:pt idx="69">
                  <c:v>12.974497433437824</c:v>
                </c:pt>
                <c:pt idx="70">
                  <c:v>11.715800006473808</c:v>
                </c:pt>
                <c:pt idx="71">
                  <c:v>10.468341388484852</c:v>
                </c:pt>
                <c:pt idx="72">
                  <c:v>9.2208827704959013</c:v>
                </c:pt>
                <c:pt idx="73">
                  <c:v>7.9734241525069383</c:v>
                </c:pt>
                <c:pt idx="74">
                  <c:v>7.1720172143695216</c:v>
                </c:pt>
                <c:pt idx="75">
                  <c:v>6.4429822131303771</c:v>
                </c:pt>
                <c:pt idx="76">
                  <c:v>5.7139472118912336</c:v>
                </c:pt>
                <c:pt idx="77">
                  <c:v>4.9849122106520856</c:v>
                </c:pt>
                <c:pt idx="78">
                  <c:v>4.4346006131690121</c:v>
                </c:pt>
                <c:pt idx="79">
                  <c:v>3.91328690871749</c:v>
                </c:pt>
                <c:pt idx="80">
                  <c:v>3.3919732042659687</c:v>
                </c:pt>
                <c:pt idx="81">
                  <c:v>2.8706594998144439</c:v>
                </c:pt>
                <c:pt idx="82">
                  <c:v>2.4858612989475803</c:v>
                </c:pt>
                <c:pt idx="83">
                  <c:v>2.1232127544038422</c:v>
                </c:pt>
                <c:pt idx="84">
                  <c:v>1.7605642098601049</c:v>
                </c:pt>
                <c:pt idx="85">
                  <c:v>1.3979156653163649</c:v>
                </c:pt>
                <c:pt idx="86">
                  <c:v>1.1510239342733704</c:v>
                </c:pt>
                <c:pt idx="87">
                  <c:v>0.92291375967470768</c:v>
                </c:pt>
                <c:pt idx="88">
                  <c:v>0.69480358507604545</c:v>
                </c:pt>
                <c:pt idx="89">
                  <c:v>0.46669341047738117</c:v>
                </c:pt>
                <c:pt idx="90">
                  <c:v>0.34131316070816525</c:v>
                </c:pt>
                <c:pt idx="91">
                  <c:v>0.23260085318231358</c:v>
                </c:pt>
                <c:pt idx="92">
                  <c:v>0.12388854565646189</c:v>
                </c:pt>
                <c:pt idx="93">
                  <c:v>1.5176238130608819E-2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5ED-41BC-9FF6-39C279A9FE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5427059"/>
        <c:axId val="816659485"/>
      </c:scatterChart>
      <c:valAx>
        <c:axId val="193542705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419" b="0">
                    <a:solidFill>
                      <a:srgbClr val="000000"/>
                    </a:solidFill>
                    <a:latin typeface="+mn-lt"/>
                  </a:rPr>
                  <a:t>Duración (hs)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419"/>
          </a:p>
        </c:txPr>
        <c:crossAx val="816659485"/>
        <c:crosses val="autoZero"/>
        <c:crossBetween val="midCat"/>
      </c:valAx>
      <c:valAx>
        <c:axId val="8166594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419" b="0">
                    <a:solidFill>
                      <a:srgbClr val="000000"/>
                    </a:solidFill>
                    <a:latin typeface="+mn-lt"/>
                  </a:rPr>
                  <a:t>Caudal de salida (m³/s)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419"/>
          </a:p>
        </c:txPr>
        <c:crossAx val="1935427059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419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609599</xdr:colOff>
      <xdr:row>43</xdr:row>
      <xdr:rowOff>76201</xdr:rowOff>
    </xdr:from>
    <xdr:ext cx="3552825" cy="2070100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381000</xdr:colOff>
      <xdr:row>59</xdr:row>
      <xdr:rowOff>9525</xdr:rowOff>
    </xdr:from>
    <xdr:ext cx="2892425" cy="1870075"/>
    <xdr:graphicFrame macro="">
      <xdr:nvGraphicFramePr>
        <xdr:cNvPr id="3" name="Chart 2" title="Gráfic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10</xdr:col>
      <xdr:colOff>76200</xdr:colOff>
      <xdr:row>73</xdr:row>
      <xdr:rowOff>200025</xdr:rowOff>
    </xdr:from>
    <xdr:ext cx="5505450" cy="3409950"/>
    <xdr:graphicFrame macro="">
      <xdr:nvGraphicFramePr>
        <xdr:cNvPr id="4" name="Chart 3" title="Gráfic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542925</xdr:colOff>
      <xdr:row>43</xdr:row>
      <xdr:rowOff>19050</xdr:rowOff>
    </xdr:from>
    <xdr:ext cx="3886200" cy="2409825"/>
    <xdr:graphicFrame macro="">
      <xdr:nvGraphicFramePr>
        <xdr:cNvPr id="4" name="Chart 4" title="Gráfic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542925</xdr:colOff>
      <xdr:row>57</xdr:row>
      <xdr:rowOff>85725</xdr:rowOff>
    </xdr:from>
    <xdr:ext cx="3705225" cy="2295525"/>
    <xdr:graphicFrame macro="">
      <xdr:nvGraphicFramePr>
        <xdr:cNvPr id="5" name="Chart 5" title="Gráfico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10</xdr:col>
      <xdr:colOff>76200</xdr:colOff>
      <xdr:row>73</xdr:row>
      <xdr:rowOff>200025</xdr:rowOff>
    </xdr:from>
    <xdr:ext cx="5505450" cy="3409950"/>
    <xdr:graphicFrame macro="">
      <xdr:nvGraphicFramePr>
        <xdr:cNvPr id="6" name="Chart 6" title="Gráfico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4"/>
  <sheetViews>
    <sheetView zoomScale="85" zoomScaleNormal="85" workbookViewId="0">
      <selection activeCell="F26" sqref="F26"/>
    </sheetView>
  </sheetViews>
  <sheetFormatPr baseColWidth="10" defaultColWidth="14.44140625" defaultRowHeight="15.75" customHeight="1" x14ac:dyDescent="0.25"/>
  <cols>
    <col min="1" max="1" width="6.5546875" customWidth="1"/>
    <col min="2" max="2" width="14.44140625" customWidth="1"/>
    <col min="5" max="6" width="14.44140625" customWidth="1"/>
  </cols>
  <sheetData>
    <row r="1" spans="1:26" ht="13.2" x14ac:dyDescent="0.25">
      <c r="A1" s="1"/>
      <c r="B1" s="96" t="s">
        <v>0</v>
      </c>
      <c r="C1" s="94"/>
      <c r="D1" s="94"/>
      <c r="E1" s="94"/>
      <c r="F1" s="95"/>
      <c r="G1" s="2"/>
      <c r="H1" s="93" t="s">
        <v>1</v>
      </c>
      <c r="I1" s="94"/>
      <c r="J1" s="95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2" x14ac:dyDescent="0.25">
      <c r="A2" s="82">
        <v>44200</v>
      </c>
      <c r="B2" s="4"/>
      <c r="C2" s="5" t="s">
        <v>2</v>
      </c>
      <c r="D2" s="6"/>
      <c r="E2" s="58"/>
      <c r="G2" s="2"/>
      <c r="H2" s="7" t="s">
        <v>4</v>
      </c>
      <c r="I2" s="7" t="s">
        <v>5</v>
      </c>
      <c r="J2" s="8">
        <f>C3</f>
        <v>8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6.4" x14ac:dyDescent="0.25">
      <c r="A3" s="83"/>
      <c r="B3" s="7" t="s">
        <v>6</v>
      </c>
      <c r="C3" s="9">
        <v>8</v>
      </c>
      <c r="D3" s="9"/>
      <c r="E3" s="9">
        <v>8</v>
      </c>
      <c r="F3" s="97" t="s">
        <v>106</v>
      </c>
      <c r="G3" s="2"/>
      <c r="H3" s="7" t="s">
        <v>7</v>
      </c>
      <c r="I3" s="7" t="s">
        <v>8</v>
      </c>
      <c r="J3" s="8">
        <v>0.38</v>
      </c>
      <c r="K3" s="2" t="s">
        <v>9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6.4" x14ac:dyDescent="0.25">
      <c r="A4" s="83"/>
      <c r="B4" s="7" t="s">
        <v>10</v>
      </c>
      <c r="C4" s="9">
        <v>5.5</v>
      </c>
      <c r="D4" s="9"/>
      <c r="E4" s="9">
        <v>5.5</v>
      </c>
      <c r="G4" s="2"/>
      <c r="H4" s="7" t="s">
        <v>0</v>
      </c>
      <c r="I4" s="7" t="s">
        <v>11</v>
      </c>
      <c r="J4" s="10">
        <f>C7*1.15</f>
        <v>1.4142641490536279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6.4" x14ac:dyDescent="0.25">
      <c r="A5" s="83"/>
      <c r="B5" s="7" t="s">
        <v>100</v>
      </c>
      <c r="C5" s="9">
        <v>1.6359999999999999</v>
      </c>
      <c r="D5" s="9"/>
      <c r="E5" s="9">
        <v>1.6359999999999999</v>
      </c>
      <c r="G5" s="2"/>
      <c r="H5" s="7" t="s">
        <v>13</v>
      </c>
      <c r="I5" s="7" t="s">
        <v>14</v>
      </c>
      <c r="J5" s="8">
        <v>10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3.2" x14ac:dyDescent="0.25">
      <c r="A6" s="79"/>
      <c r="B6" s="59" t="s">
        <v>104</v>
      </c>
      <c r="C6" s="9" t="s">
        <v>105</v>
      </c>
      <c r="D6" s="9"/>
      <c r="E6" s="9"/>
      <c r="G6" s="2"/>
      <c r="H6" s="7" t="s">
        <v>16</v>
      </c>
      <c r="I6" s="7" t="s">
        <v>17</v>
      </c>
      <c r="J6" s="8">
        <v>90</v>
      </c>
      <c r="K6" s="2" t="s">
        <v>18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3.2" x14ac:dyDescent="0.25">
      <c r="A7" s="2"/>
      <c r="B7" s="11" t="s">
        <v>11</v>
      </c>
      <c r="C7" s="12">
        <f>0.4*C4^0.77/(C5^0.385)</f>
        <v>1.229794912220546</v>
      </c>
      <c r="D7" s="12"/>
      <c r="E7" s="12">
        <f>0.91134*E6*E4/SQRT(E5)</f>
        <v>0</v>
      </c>
      <c r="F7" s="2"/>
      <c r="G7" s="2"/>
      <c r="H7" s="7" t="s">
        <v>19</v>
      </c>
      <c r="I7" s="7" t="s">
        <v>20</v>
      </c>
      <c r="J7" s="8">
        <v>69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6.4" x14ac:dyDescent="0.25">
      <c r="A8" s="2"/>
      <c r="B8" s="13"/>
      <c r="C8" s="60" t="s">
        <v>15</v>
      </c>
      <c r="D8" s="2"/>
      <c r="E8" s="62" t="s">
        <v>101</v>
      </c>
      <c r="F8" s="2"/>
      <c r="G8" s="2"/>
      <c r="H8" s="7" t="s">
        <v>21</v>
      </c>
      <c r="I8" s="7" t="s">
        <v>22</v>
      </c>
      <c r="J8" s="8" t="s">
        <v>93</v>
      </c>
      <c r="K8" s="2"/>
      <c r="L8" s="77"/>
      <c r="M8" s="64"/>
      <c r="N8" s="14"/>
      <c r="O8" s="14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3.2" x14ac:dyDescent="0.25">
      <c r="A9" s="2"/>
      <c r="B9" s="13"/>
      <c r="C9" s="61" t="s">
        <v>103</v>
      </c>
      <c r="D9" s="2"/>
      <c r="E9" s="62" t="s">
        <v>102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3.2" x14ac:dyDescent="0.25">
      <c r="A10" s="2"/>
      <c r="B10" s="13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3.2" x14ac:dyDescent="0.25">
      <c r="A11" s="15"/>
      <c r="B11" s="75" t="s">
        <v>24</v>
      </c>
      <c r="C11" s="76"/>
      <c r="D11" s="76"/>
      <c r="E11" s="76"/>
      <c r="F11" s="64"/>
      <c r="G11" s="2"/>
      <c r="H11" s="3" t="s">
        <v>25</v>
      </c>
      <c r="I11" s="16"/>
      <c r="J11" s="17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3.2" x14ac:dyDescent="0.25">
      <c r="A12" s="82">
        <v>44231</v>
      </c>
      <c r="B12" s="1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3.2" x14ac:dyDescent="0.25">
      <c r="A13" s="83"/>
      <c r="B13" s="18" t="s">
        <v>11</v>
      </c>
      <c r="C13" s="69" t="s">
        <v>26</v>
      </c>
      <c r="D13" s="19" t="s">
        <v>27</v>
      </c>
      <c r="E13" s="71" t="s">
        <v>28</v>
      </c>
      <c r="F13" s="64"/>
      <c r="G13" s="2"/>
      <c r="H13" s="7" t="s">
        <v>29</v>
      </c>
      <c r="I13" s="20" t="s">
        <v>30</v>
      </c>
      <c r="J13" s="21">
        <f>0.5786-0.4312*LOG(LN(J5/(J5-1)))</f>
        <v>1.0000212949130891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7.5" customHeight="1" x14ac:dyDescent="0.25">
      <c r="A14" s="83"/>
      <c r="B14" s="72">
        <f>J4</f>
        <v>1.4142641490536279</v>
      </c>
      <c r="C14" s="70"/>
      <c r="D14" s="19" t="s">
        <v>31</v>
      </c>
      <c r="E14" s="74" t="s">
        <v>32</v>
      </c>
      <c r="F14" s="64"/>
      <c r="G14" s="2"/>
      <c r="H14" s="7" t="s">
        <v>33</v>
      </c>
      <c r="I14" s="20" t="s">
        <v>34</v>
      </c>
      <c r="J14" s="21">
        <f>IF(E20&lt;3,0.6208*E20/(E20+0.0137)^0.5639,1.0287*E20/(E20+1.0293)^0.8083)</f>
        <v>0.71818636037942452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3.2" x14ac:dyDescent="0.25">
      <c r="A15" s="83"/>
      <c r="B15" s="73"/>
      <c r="C15" s="68"/>
      <c r="D15" s="19" t="s">
        <v>35</v>
      </c>
      <c r="E15" s="71" t="s">
        <v>36</v>
      </c>
      <c r="F15" s="64"/>
      <c r="G15" s="2"/>
      <c r="H15" s="7" t="s">
        <v>37</v>
      </c>
      <c r="I15" s="20" t="s">
        <v>38</v>
      </c>
      <c r="J15" s="21">
        <f>1-(0.3549*E20^(-0.4272))*(1-EXP(-0.005792*J2))</f>
        <v>0.98614217691728778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3.2" x14ac:dyDescent="0.25">
      <c r="A16" s="83"/>
      <c r="B16" s="13"/>
      <c r="C16" s="2"/>
      <c r="D16" s="2"/>
      <c r="E16" s="2"/>
      <c r="F16" s="2"/>
      <c r="G16" s="2"/>
      <c r="H16" s="78" t="s">
        <v>39</v>
      </c>
      <c r="I16" s="22" t="s">
        <v>40</v>
      </c>
      <c r="J16" s="12">
        <f>J6*J13*J14</f>
        <v>64.638148868599558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3.2" x14ac:dyDescent="0.25">
      <c r="A17" s="83"/>
      <c r="B17" s="80" t="s">
        <v>28</v>
      </c>
      <c r="C17" s="76"/>
      <c r="D17" s="76"/>
      <c r="E17" s="76"/>
      <c r="F17" s="64"/>
      <c r="G17" s="2"/>
      <c r="H17" s="79"/>
      <c r="I17" s="23" t="s">
        <v>41</v>
      </c>
      <c r="J17" s="24">
        <f>J6*J13*J14*J15</f>
        <v>63.742404837184488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3.2" x14ac:dyDescent="0.25">
      <c r="A18" s="83"/>
      <c r="B18" s="63" t="s">
        <v>42</v>
      </c>
      <c r="C18" s="64"/>
      <c r="D18" s="5" t="s">
        <v>8</v>
      </c>
      <c r="E18" s="5">
        <f>J3</f>
        <v>0.38</v>
      </c>
      <c r="F18" s="25"/>
      <c r="G18" s="2"/>
      <c r="H18" s="26"/>
      <c r="I18" s="27"/>
      <c r="J18" s="28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3.2" x14ac:dyDescent="0.25">
      <c r="A19" s="83"/>
      <c r="B19" s="65" t="s">
        <v>43</v>
      </c>
      <c r="C19" s="66"/>
      <c r="D19" s="5" t="s">
        <v>44</v>
      </c>
      <c r="E19" s="29">
        <f>J17/E20</f>
        <v>45.071074508845108</v>
      </c>
      <c r="F19" s="25"/>
      <c r="G19" s="2"/>
      <c r="H19" s="26"/>
      <c r="I19" s="27"/>
      <c r="J19" s="28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3.2" x14ac:dyDescent="0.25">
      <c r="A20" s="83"/>
      <c r="B20" s="67"/>
      <c r="C20" s="68"/>
      <c r="D20" s="5" t="s">
        <v>45</v>
      </c>
      <c r="E20" s="29">
        <f>J4</f>
        <v>1.4142641490536279</v>
      </c>
      <c r="F20" s="25"/>
      <c r="G20" s="2"/>
      <c r="H20" s="26"/>
      <c r="I20" s="27"/>
      <c r="J20" s="28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3.2" x14ac:dyDescent="0.25">
      <c r="A21" s="83"/>
      <c r="B21" s="63" t="s">
        <v>46</v>
      </c>
      <c r="C21" s="64"/>
      <c r="D21" s="5" t="s">
        <v>47</v>
      </c>
      <c r="E21" s="5">
        <f>J2*100</f>
        <v>800</v>
      </c>
      <c r="F21" s="25" t="s">
        <v>48</v>
      </c>
      <c r="G21" s="2"/>
      <c r="H21" s="84"/>
      <c r="I21" s="30"/>
      <c r="J21" s="31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3.2" x14ac:dyDescent="0.25">
      <c r="A22" s="83"/>
      <c r="B22" s="85" t="s">
        <v>49</v>
      </c>
      <c r="C22" s="64"/>
      <c r="D22" s="32" t="s">
        <v>50</v>
      </c>
      <c r="E22" s="33">
        <f>E18*E19*E21/360</f>
        <v>38.060018474135866</v>
      </c>
      <c r="F22" s="2"/>
      <c r="G22" s="2"/>
      <c r="H22" s="79"/>
      <c r="I22" s="30"/>
      <c r="J22" s="31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3.2" x14ac:dyDescent="0.25">
      <c r="A23" s="83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.2" x14ac:dyDescent="0.25">
      <c r="A24" s="83"/>
      <c r="B24" s="89" t="s">
        <v>36</v>
      </c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64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.2" x14ac:dyDescent="0.25">
      <c r="A25" s="83"/>
      <c r="B25" s="13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3.2" x14ac:dyDescent="0.25">
      <c r="A26" s="83"/>
      <c r="B26" s="86" t="s">
        <v>51</v>
      </c>
      <c r="C26" s="64"/>
      <c r="D26" s="20" t="s">
        <v>23</v>
      </c>
      <c r="E26" s="21">
        <f>J4/7</f>
        <v>0.20203773557908969</v>
      </c>
      <c r="F26" s="2"/>
      <c r="G26" s="86" t="s">
        <v>21</v>
      </c>
      <c r="H26" s="64"/>
      <c r="I26" s="7" t="str">
        <f>J8</f>
        <v>B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2" x14ac:dyDescent="0.25">
      <c r="A27" s="83"/>
      <c r="B27" s="86" t="s">
        <v>52</v>
      </c>
      <c r="C27" s="64"/>
      <c r="D27" s="20" t="s">
        <v>53</v>
      </c>
      <c r="E27" s="21">
        <f>25.4*(1000/J7-10)</f>
        <v>114.11594202898551</v>
      </c>
      <c r="G27" s="86" t="s">
        <v>54</v>
      </c>
      <c r="H27" s="64"/>
      <c r="I27" s="7">
        <f>IF(I26="A",2.4,1.2)</f>
        <v>1.2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2" x14ac:dyDescent="0.25">
      <c r="A28" s="83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2" x14ac:dyDescent="0.25">
      <c r="A29" s="83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2" x14ac:dyDescent="0.25">
      <c r="A30" s="83"/>
      <c r="B30" s="87" t="s">
        <v>55</v>
      </c>
      <c r="C30" s="76"/>
      <c r="D30" s="76"/>
      <c r="E30" s="76"/>
      <c r="F30" s="76"/>
      <c r="G30" s="76"/>
      <c r="H30" s="76"/>
      <c r="I30" s="76"/>
      <c r="J30" s="64"/>
      <c r="K30" s="88" t="s">
        <v>56</v>
      </c>
      <c r="L30" s="76"/>
      <c r="M30" s="76"/>
      <c r="N30" s="76"/>
      <c r="O30" s="76"/>
      <c r="P30" s="64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39.6" x14ac:dyDescent="0.25">
      <c r="A31" s="83"/>
      <c r="B31" s="34" t="s">
        <v>23</v>
      </c>
      <c r="C31" s="34" t="s">
        <v>57</v>
      </c>
      <c r="D31" s="34" t="s">
        <v>58</v>
      </c>
      <c r="E31" s="34" t="s">
        <v>34</v>
      </c>
      <c r="F31" s="34" t="s">
        <v>30</v>
      </c>
      <c r="G31" s="34" t="s">
        <v>38</v>
      </c>
      <c r="H31" s="34" t="s">
        <v>59</v>
      </c>
      <c r="I31" s="34" t="s">
        <v>60</v>
      </c>
      <c r="J31" s="34" t="s">
        <v>61</v>
      </c>
      <c r="K31" s="34" t="s">
        <v>62</v>
      </c>
      <c r="L31" s="34" t="s">
        <v>63</v>
      </c>
      <c r="M31" s="34" t="s">
        <v>64</v>
      </c>
      <c r="N31" s="34" t="s">
        <v>65</v>
      </c>
      <c r="O31" s="34" t="s">
        <v>66</v>
      </c>
      <c r="P31" s="34" t="s">
        <v>67</v>
      </c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spans="1:26" ht="13.2" x14ac:dyDescent="0.25">
      <c r="A32" s="83"/>
      <c r="B32" s="5">
        <v>1</v>
      </c>
      <c r="C32" s="36">
        <f t="shared" ref="C32:C43" si="0">B32*$E$26</f>
        <v>0.20203773557908969</v>
      </c>
      <c r="D32" s="29">
        <f t="shared" ref="D32:D43" si="1">$J$6</f>
        <v>90</v>
      </c>
      <c r="E32" s="29">
        <f t="shared" ref="E32:E43" si="2">IF(C32&lt;3,0.6208*C32/(C32+0.0137)^0.5639,1.0287*C32/(C32+1.0293)^0.8083)</f>
        <v>0.29784016498127075</v>
      </c>
      <c r="F32" s="29">
        <f t="shared" ref="F32:F43" si="3">0.5786-0.4312*LOG(LN($J$5/($J$5-1)))</f>
        <v>1.0000212949130891</v>
      </c>
      <c r="G32" s="29">
        <f t="shared" ref="G32:G43" si="4">1-(0.3549*C32^(-0.4272))*(1-EXP(-0.005792*$J$2))</f>
        <v>0.96817848184898414</v>
      </c>
      <c r="H32" s="29">
        <f t="shared" ref="H32:H43" si="5">D32*E32*F32*G32</f>
        <v>25.95317214764604</v>
      </c>
      <c r="I32" s="29">
        <f>H32</f>
        <v>25.95317214764604</v>
      </c>
      <c r="J32" s="37">
        <f>I43</f>
        <v>3.0731797606410822</v>
      </c>
      <c r="K32" s="29">
        <f>J32</f>
        <v>3.0731797606410822</v>
      </c>
      <c r="L32" s="29">
        <f t="shared" ref="L32:L43" si="6">IF(K32&lt;=0.2*$E$27,0,(K32-0.2*$E$27)^2/(K32+0.8*$E$27))</f>
        <v>0</v>
      </c>
      <c r="M32" s="29">
        <f>L32</f>
        <v>0</v>
      </c>
      <c r="N32" s="29">
        <f t="shared" ref="N32:N43" si="7">J32-M32</f>
        <v>3.0731797606410822</v>
      </c>
      <c r="O32" s="29">
        <f t="shared" ref="O32:O43" si="8">N32/$C$32</f>
        <v>15.210919642474687</v>
      </c>
      <c r="P32" s="29">
        <f t="shared" ref="P32:P43" si="9">IF(O32&gt;=$I$27,M32,J32-$I$27*$C$32)</f>
        <v>0</v>
      </c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2" x14ac:dyDescent="0.25">
      <c r="A33" s="83"/>
      <c r="B33" s="5">
        <v>2</v>
      </c>
      <c r="C33" s="36">
        <f t="shared" si="0"/>
        <v>0.40407547115817938</v>
      </c>
      <c r="D33" s="29">
        <f t="shared" si="1"/>
        <v>90</v>
      </c>
      <c r="E33" s="29">
        <f t="shared" si="2"/>
        <v>0.4103594827223247</v>
      </c>
      <c r="F33" s="29">
        <f t="shared" si="3"/>
        <v>1.0000212949130891</v>
      </c>
      <c r="G33" s="29">
        <f t="shared" si="4"/>
        <v>0.97633421683008714</v>
      </c>
      <c r="H33" s="29">
        <f t="shared" si="5"/>
        <v>36.059088235223605</v>
      </c>
      <c r="I33" s="29">
        <f t="shared" ref="I33:I43" si="10">H33-H32</f>
        <v>10.105916087577565</v>
      </c>
      <c r="J33" s="37">
        <f>I41</f>
        <v>3.4260638564351638</v>
      </c>
      <c r="K33" s="29">
        <f t="shared" ref="K33:K43" si="11">J33+K32</f>
        <v>6.499243617076246</v>
      </c>
      <c r="L33" s="29">
        <f t="shared" si="6"/>
        <v>0</v>
      </c>
      <c r="M33" s="29">
        <f t="shared" ref="M33:M43" si="12">L33-L32</f>
        <v>0</v>
      </c>
      <c r="N33" s="29">
        <f t="shared" si="7"/>
        <v>3.4260638564351638</v>
      </c>
      <c r="O33" s="29">
        <f t="shared" si="8"/>
        <v>16.957544325149087</v>
      </c>
      <c r="P33" s="29">
        <f t="shared" si="9"/>
        <v>0</v>
      </c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2" x14ac:dyDescent="0.25">
      <c r="A34" s="83"/>
      <c r="B34" s="5">
        <v>3</v>
      </c>
      <c r="C34" s="36">
        <f t="shared" si="0"/>
        <v>0.60611320673726909</v>
      </c>
      <c r="D34" s="29">
        <f t="shared" si="1"/>
        <v>90</v>
      </c>
      <c r="E34" s="29">
        <f t="shared" si="2"/>
        <v>0.49277603144244847</v>
      </c>
      <c r="F34" s="29">
        <f t="shared" si="3"/>
        <v>1.0000212949130891</v>
      </c>
      <c r="G34" s="29">
        <f t="shared" si="4"/>
        <v>0.98009809287344429</v>
      </c>
      <c r="H34" s="29">
        <f t="shared" si="5"/>
        <v>43.468122006913006</v>
      </c>
      <c r="I34" s="29">
        <f t="shared" si="10"/>
        <v>7.4090337716894012</v>
      </c>
      <c r="J34" s="37">
        <f>I39</f>
        <v>3.9205361699284467</v>
      </c>
      <c r="K34" s="29">
        <f t="shared" si="11"/>
        <v>10.419779787004693</v>
      </c>
      <c r="L34" s="29">
        <f t="shared" si="6"/>
        <v>0</v>
      </c>
      <c r="M34" s="29">
        <f t="shared" si="12"/>
        <v>0</v>
      </c>
      <c r="N34" s="29">
        <f t="shared" si="7"/>
        <v>3.9205361699284467</v>
      </c>
      <c r="O34" s="29">
        <f t="shared" si="8"/>
        <v>19.404969862145943</v>
      </c>
      <c r="P34" s="29">
        <f t="shared" si="9"/>
        <v>0</v>
      </c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2" x14ac:dyDescent="0.25">
      <c r="A35" s="83"/>
      <c r="B35" s="5">
        <v>4</v>
      </c>
      <c r="C35" s="36">
        <f t="shared" si="0"/>
        <v>0.80815094231635876</v>
      </c>
      <c r="D35" s="29">
        <f t="shared" si="1"/>
        <v>90</v>
      </c>
      <c r="E35" s="29">
        <f t="shared" si="2"/>
        <v>0.5603925935983709</v>
      </c>
      <c r="F35" s="29">
        <f t="shared" si="3"/>
        <v>1.0000212949130891</v>
      </c>
      <c r="G35" s="29">
        <f t="shared" si="4"/>
        <v>0.98239966772209297</v>
      </c>
      <c r="H35" s="29">
        <f t="shared" si="5"/>
        <v>49.548709910049205</v>
      </c>
      <c r="I35" s="29">
        <f t="shared" si="10"/>
        <v>6.0805879031361982</v>
      </c>
      <c r="J35" s="37">
        <f>I37</f>
        <v>4.6826269981968167</v>
      </c>
      <c r="K35" s="29">
        <f t="shared" si="11"/>
        <v>15.102406785201509</v>
      </c>
      <c r="L35" s="29">
        <f t="shared" si="6"/>
        <v>0</v>
      </c>
      <c r="M35" s="29">
        <f t="shared" si="12"/>
        <v>0</v>
      </c>
      <c r="N35" s="29">
        <f t="shared" si="7"/>
        <v>4.6826269981968167</v>
      </c>
      <c r="O35" s="29">
        <f t="shared" si="8"/>
        <v>23.176992084054294</v>
      </c>
      <c r="P35" s="29">
        <f t="shared" si="9"/>
        <v>0</v>
      </c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2" x14ac:dyDescent="0.25">
      <c r="A36" s="83"/>
      <c r="B36" s="5">
        <v>5</v>
      </c>
      <c r="C36" s="36">
        <f t="shared" si="0"/>
        <v>1.0101886778954485</v>
      </c>
      <c r="D36" s="29">
        <f t="shared" si="1"/>
        <v>90</v>
      </c>
      <c r="E36" s="29">
        <f t="shared" si="2"/>
        <v>0.61883188795905886</v>
      </c>
      <c r="F36" s="29">
        <f t="shared" si="3"/>
        <v>1.0000212949130891</v>
      </c>
      <c r="G36" s="29">
        <f t="shared" si="4"/>
        <v>0.98399996585706406</v>
      </c>
      <c r="H36" s="29">
        <f t="shared" si="5"/>
        <v>54.80491713716313</v>
      </c>
      <c r="I36" s="29">
        <f t="shared" si="10"/>
        <v>5.2562072271139257</v>
      </c>
      <c r="J36" s="37">
        <f>I35</f>
        <v>6.0805879031361982</v>
      </c>
      <c r="K36" s="29">
        <f t="shared" si="11"/>
        <v>21.182994688337708</v>
      </c>
      <c r="L36" s="29">
        <f t="shared" si="6"/>
        <v>0</v>
      </c>
      <c r="M36" s="29">
        <f t="shared" si="12"/>
        <v>0</v>
      </c>
      <c r="N36" s="29">
        <f t="shared" si="7"/>
        <v>6.0805879031361982</v>
      </c>
      <c r="O36" s="29">
        <f t="shared" si="8"/>
        <v>30.096298029215891</v>
      </c>
      <c r="P36" s="29">
        <f t="shared" si="9"/>
        <v>0</v>
      </c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2" x14ac:dyDescent="0.25">
      <c r="A37" s="83"/>
      <c r="B37" s="5">
        <v>6</v>
      </c>
      <c r="C37" s="36">
        <f t="shared" si="0"/>
        <v>1.2122264134745382</v>
      </c>
      <c r="D37" s="29">
        <f t="shared" si="1"/>
        <v>90</v>
      </c>
      <c r="E37" s="29">
        <f t="shared" si="2"/>
        <v>0.67088854168943035</v>
      </c>
      <c r="F37" s="29">
        <f t="shared" si="3"/>
        <v>1.0000212949130891</v>
      </c>
      <c r="G37" s="29">
        <f t="shared" si="4"/>
        <v>0.98519887654355121</v>
      </c>
      <c r="H37" s="29">
        <f t="shared" si="5"/>
        <v>59.487544135359947</v>
      </c>
      <c r="I37" s="29">
        <f t="shared" si="10"/>
        <v>4.6826269981968167</v>
      </c>
      <c r="J37" s="37">
        <f>I33</f>
        <v>10.105916087577565</v>
      </c>
      <c r="K37" s="29">
        <f t="shared" si="11"/>
        <v>31.288910775915273</v>
      </c>
      <c r="L37" s="29">
        <f t="shared" si="6"/>
        <v>0.58465885252283478</v>
      </c>
      <c r="M37" s="29">
        <f t="shared" si="12"/>
        <v>0.58465885252283478</v>
      </c>
      <c r="N37" s="29">
        <f t="shared" si="7"/>
        <v>9.5212572350547298</v>
      </c>
      <c r="O37" s="29">
        <f t="shared" si="8"/>
        <v>47.126133183805848</v>
      </c>
      <c r="P37" s="29">
        <f t="shared" si="9"/>
        <v>0.58465885252283478</v>
      </c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2" x14ac:dyDescent="0.25">
      <c r="A38" s="83"/>
      <c r="B38" s="5">
        <v>7</v>
      </c>
      <c r="C38" s="36">
        <f t="shared" si="0"/>
        <v>1.4142641490536279</v>
      </c>
      <c r="D38" s="29">
        <f t="shared" si="1"/>
        <v>90</v>
      </c>
      <c r="E38" s="29">
        <f t="shared" si="2"/>
        <v>0.71818636037942452</v>
      </c>
      <c r="F38" s="29">
        <f t="shared" si="3"/>
        <v>1.0000212949130891</v>
      </c>
      <c r="G38" s="29">
        <f t="shared" si="4"/>
        <v>0.98614217691728778</v>
      </c>
      <c r="H38" s="29">
        <f t="shared" si="5"/>
        <v>63.742404837184488</v>
      </c>
      <c r="I38" s="29">
        <f t="shared" si="10"/>
        <v>4.2548607018245406</v>
      </c>
      <c r="J38" s="37">
        <f>I32</f>
        <v>25.95317214764604</v>
      </c>
      <c r="K38" s="29">
        <f t="shared" si="11"/>
        <v>57.242082923561313</v>
      </c>
      <c r="L38" s="29">
        <f t="shared" si="6"/>
        <v>7.9756394349423898</v>
      </c>
      <c r="M38" s="29">
        <f t="shared" si="12"/>
        <v>7.3909805824195551</v>
      </c>
      <c r="N38" s="29">
        <f t="shared" si="7"/>
        <v>18.562191565226485</v>
      </c>
      <c r="O38" s="29">
        <f t="shared" si="8"/>
        <v>91.874874324950696</v>
      </c>
      <c r="P38" s="29">
        <f t="shared" si="9"/>
        <v>7.3909805824195551</v>
      </c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2" x14ac:dyDescent="0.25">
      <c r="A39" s="83"/>
      <c r="B39" s="5">
        <v>8</v>
      </c>
      <c r="C39" s="36">
        <f t="shared" si="0"/>
        <v>1.6163018846327175</v>
      </c>
      <c r="D39" s="29">
        <f t="shared" si="1"/>
        <v>90</v>
      </c>
      <c r="E39" s="29">
        <f t="shared" si="2"/>
        <v>0.76176552546608578</v>
      </c>
      <c r="F39" s="29">
        <f t="shared" si="3"/>
        <v>1.0000212949130891</v>
      </c>
      <c r="G39" s="29">
        <f t="shared" si="4"/>
        <v>0.98691056644655806</v>
      </c>
      <c r="H39" s="29">
        <f t="shared" si="5"/>
        <v>67.662941007112934</v>
      </c>
      <c r="I39" s="29">
        <f t="shared" si="10"/>
        <v>3.9205361699284467</v>
      </c>
      <c r="J39" s="37">
        <f>I34</f>
        <v>7.4090337716894012</v>
      </c>
      <c r="K39" s="29">
        <f t="shared" si="11"/>
        <v>64.651116695250721</v>
      </c>
      <c r="L39" s="29">
        <f t="shared" si="6"/>
        <v>11.219264863793756</v>
      </c>
      <c r="M39" s="29">
        <f t="shared" si="12"/>
        <v>3.2436254288513657</v>
      </c>
      <c r="N39" s="29">
        <f t="shared" si="7"/>
        <v>4.1654083428380355</v>
      </c>
      <c r="O39" s="29">
        <f t="shared" si="8"/>
        <v>20.616981926168169</v>
      </c>
      <c r="P39" s="29">
        <f t="shared" si="9"/>
        <v>3.2436254288513657</v>
      </c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2" x14ac:dyDescent="0.25">
      <c r="A40" s="83"/>
      <c r="B40" s="5">
        <v>9</v>
      </c>
      <c r="C40" s="36">
        <f t="shared" si="0"/>
        <v>1.8183396202118072</v>
      </c>
      <c r="D40" s="29">
        <f t="shared" si="1"/>
        <v>90</v>
      </c>
      <c r="E40" s="29">
        <f t="shared" si="2"/>
        <v>0.8023387020254461</v>
      </c>
      <c r="F40" s="29">
        <f t="shared" si="3"/>
        <v>1.0000212949130891</v>
      </c>
      <c r="G40" s="29">
        <f t="shared" si="4"/>
        <v>0.98755289092763143</v>
      </c>
      <c r="H40" s="29">
        <f t="shared" si="5"/>
        <v>71.313189997796925</v>
      </c>
      <c r="I40" s="29">
        <f t="shared" si="10"/>
        <v>3.6502489906839912</v>
      </c>
      <c r="J40" s="37">
        <f>I36</f>
        <v>5.2562072271139257</v>
      </c>
      <c r="K40" s="29">
        <f t="shared" si="11"/>
        <v>69.90732392236464</v>
      </c>
      <c r="L40" s="29">
        <f t="shared" si="6"/>
        <v>13.752572896350031</v>
      </c>
      <c r="M40" s="29">
        <f t="shared" si="12"/>
        <v>2.5333080325562758</v>
      </c>
      <c r="N40" s="29">
        <f t="shared" si="7"/>
        <v>2.7228991945576499</v>
      </c>
      <c r="O40" s="29">
        <f t="shared" si="8"/>
        <v>13.477181313446982</v>
      </c>
      <c r="P40" s="29">
        <f t="shared" si="9"/>
        <v>2.5333080325562758</v>
      </c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2" x14ac:dyDescent="0.25">
      <c r="A41" s="83"/>
      <c r="B41" s="5">
        <v>10</v>
      </c>
      <c r="C41" s="36">
        <f t="shared" si="0"/>
        <v>2.0203773557908971</v>
      </c>
      <c r="D41" s="29">
        <f t="shared" si="1"/>
        <v>90</v>
      </c>
      <c r="E41" s="29">
        <f t="shared" si="2"/>
        <v>0.84041885437797348</v>
      </c>
      <c r="F41" s="29">
        <f t="shared" si="3"/>
        <v>1.0000212949130891</v>
      </c>
      <c r="G41" s="29">
        <f t="shared" si="4"/>
        <v>0.98810071421039869</v>
      </c>
      <c r="H41" s="29">
        <f t="shared" si="5"/>
        <v>74.739253854232089</v>
      </c>
      <c r="I41" s="29">
        <f t="shared" si="10"/>
        <v>3.4260638564351638</v>
      </c>
      <c r="J41" s="37">
        <f>I38</f>
        <v>4.2548607018245406</v>
      </c>
      <c r="K41" s="29">
        <f t="shared" si="11"/>
        <v>74.16218462418918</v>
      </c>
      <c r="L41" s="29">
        <f t="shared" si="6"/>
        <v>15.929971994981242</v>
      </c>
      <c r="M41" s="29">
        <f t="shared" si="12"/>
        <v>2.1773990986312111</v>
      </c>
      <c r="N41" s="29">
        <f t="shared" si="7"/>
        <v>2.0774616031933295</v>
      </c>
      <c r="O41" s="29">
        <f t="shared" si="8"/>
        <v>10.282542502462796</v>
      </c>
      <c r="P41" s="29">
        <f t="shared" si="9"/>
        <v>2.1773990986312111</v>
      </c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2" x14ac:dyDescent="0.25">
      <c r="A42" s="83"/>
      <c r="B42" s="5">
        <v>11</v>
      </c>
      <c r="C42" s="36">
        <f t="shared" si="0"/>
        <v>2.2224150913699865</v>
      </c>
      <c r="D42" s="29">
        <f t="shared" si="1"/>
        <v>90</v>
      </c>
      <c r="E42" s="29">
        <f t="shared" si="2"/>
        <v>0.87638943425356786</v>
      </c>
      <c r="F42" s="29">
        <f t="shared" si="3"/>
        <v>1.0000212949130891</v>
      </c>
      <c r="G42" s="29">
        <f t="shared" si="4"/>
        <v>0.98857548058202449</v>
      </c>
      <c r="H42" s="29">
        <f t="shared" si="5"/>
        <v>77.975600001246647</v>
      </c>
      <c r="I42" s="29">
        <f t="shared" si="10"/>
        <v>3.236346147014558</v>
      </c>
      <c r="J42" s="37">
        <f>I40</f>
        <v>3.6502489906839912</v>
      </c>
      <c r="K42" s="29">
        <f t="shared" si="11"/>
        <v>77.812433614873171</v>
      </c>
      <c r="L42" s="29">
        <f t="shared" si="6"/>
        <v>17.881279327091541</v>
      </c>
      <c r="M42" s="29">
        <f t="shared" si="12"/>
        <v>1.9513073321102983</v>
      </c>
      <c r="N42" s="29">
        <f t="shared" si="7"/>
        <v>1.6989416585736929</v>
      </c>
      <c r="O42" s="29">
        <f t="shared" si="8"/>
        <v>8.4090313807176145</v>
      </c>
      <c r="P42" s="29">
        <f t="shared" si="9"/>
        <v>1.9513073321102983</v>
      </c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2" x14ac:dyDescent="0.25">
      <c r="A43" s="83"/>
      <c r="B43" s="5">
        <v>12</v>
      </c>
      <c r="C43" s="36">
        <f t="shared" si="0"/>
        <v>2.4244528269490764</v>
      </c>
      <c r="D43" s="29">
        <f t="shared" si="1"/>
        <v>90</v>
      </c>
      <c r="E43" s="29">
        <f t="shared" si="2"/>
        <v>0.91054579144263137</v>
      </c>
      <c r="F43" s="29">
        <f t="shared" si="3"/>
        <v>1.0000212949130891</v>
      </c>
      <c r="G43" s="29">
        <f t="shared" si="4"/>
        <v>0.98899234861362995</v>
      </c>
      <c r="H43" s="29">
        <f t="shared" si="5"/>
        <v>81.048779761887729</v>
      </c>
      <c r="I43" s="29">
        <f t="shared" si="10"/>
        <v>3.0731797606410822</v>
      </c>
      <c r="J43" s="37">
        <f>I42</f>
        <v>3.236346147014558</v>
      </c>
      <c r="K43" s="29">
        <f t="shared" si="11"/>
        <v>81.048779761887729</v>
      </c>
      <c r="L43" s="29">
        <f t="shared" si="6"/>
        <v>19.671517493066649</v>
      </c>
      <c r="M43" s="29">
        <f t="shared" si="12"/>
        <v>1.7902381659751079</v>
      </c>
      <c r="N43" s="29">
        <f t="shared" si="7"/>
        <v>1.4461079810394502</v>
      </c>
      <c r="O43" s="29">
        <f t="shared" si="8"/>
        <v>7.1576132888965027</v>
      </c>
      <c r="P43" s="29">
        <f t="shared" si="9"/>
        <v>1.7902381659751079</v>
      </c>
      <c r="Q43" s="14"/>
      <c r="R43" s="14"/>
      <c r="S43" s="2"/>
      <c r="T43" s="2"/>
      <c r="U43" s="2"/>
      <c r="V43" s="2"/>
      <c r="W43" s="2"/>
      <c r="X43" s="2"/>
      <c r="Y43" s="2"/>
      <c r="Z43" s="2"/>
    </row>
    <row r="44" spans="1:26" ht="13.2" x14ac:dyDescent="0.25">
      <c r="A44" s="83"/>
      <c r="B44" s="13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2" x14ac:dyDescent="0.25">
      <c r="A45" s="83"/>
      <c r="B45" s="13"/>
      <c r="C45" s="2"/>
      <c r="D45" s="2"/>
      <c r="E45" s="2"/>
      <c r="F45" s="2"/>
      <c r="G45" s="2"/>
      <c r="H45" s="38"/>
      <c r="I45" s="38"/>
      <c r="J45" s="38"/>
      <c r="K45" s="3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2" x14ac:dyDescent="0.25">
      <c r="A46" s="83"/>
      <c r="B46" s="13"/>
      <c r="C46" s="2"/>
      <c r="D46" s="2"/>
      <c r="E46" s="2"/>
      <c r="F46" s="2"/>
      <c r="G46" s="2"/>
      <c r="H46" s="38"/>
      <c r="I46" s="38"/>
      <c r="J46" s="38"/>
      <c r="K46" s="3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2" x14ac:dyDescent="0.25">
      <c r="A47" s="83"/>
      <c r="B47" s="13"/>
      <c r="C47" s="2"/>
      <c r="D47" s="2"/>
      <c r="E47" s="2"/>
      <c r="F47" s="2"/>
      <c r="G47" s="2"/>
      <c r="H47" s="38"/>
      <c r="I47" s="38"/>
      <c r="J47" s="38"/>
      <c r="K47" s="3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2" x14ac:dyDescent="0.25">
      <c r="A48" s="83"/>
      <c r="B48" s="13"/>
      <c r="C48" s="2"/>
      <c r="D48" s="2"/>
      <c r="E48" s="2"/>
      <c r="F48" s="2"/>
      <c r="G48" s="2"/>
      <c r="H48" s="38"/>
      <c r="I48" s="38"/>
      <c r="J48" s="38"/>
      <c r="K48" s="3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2" x14ac:dyDescent="0.25">
      <c r="A49" s="83"/>
      <c r="B49" s="13"/>
      <c r="C49" s="2"/>
      <c r="D49" s="2"/>
      <c r="E49" s="2"/>
      <c r="F49" s="2"/>
      <c r="G49" s="2"/>
      <c r="H49" s="38"/>
      <c r="I49" s="38"/>
      <c r="J49" s="38"/>
      <c r="K49" s="3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2" x14ac:dyDescent="0.25">
      <c r="A50" s="83"/>
      <c r="B50" s="13"/>
      <c r="C50" s="2"/>
      <c r="D50" s="2"/>
      <c r="E50" s="2"/>
      <c r="F50" s="2"/>
      <c r="G50" s="2"/>
      <c r="H50" s="38"/>
      <c r="I50" s="38"/>
      <c r="J50" s="38"/>
      <c r="K50" s="3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2" x14ac:dyDescent="0.25">
      <c r="A51" s="83"/>
      <c r="B51" s="13"/>
      <c r="C51" s="2"/>
      <c r="D51" s="2"/>
      <c r="E51" s="2"/>
      <c r="F51" s="2"/>
      <c r="G51" s="2"/>
      <c r="H51" s="38"/>
      <c r="I51" s="38"/>
      <c r="J51" s="38"/>
      <c r="K51" s="3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2" x14ac:dyDescent="0.25">
      <c r="A52" s="83"/>
      <c r="B52" s="13"/>
      <c r="C52" s="2"/>
      <c r="D52" s="2"/>
      <c r="E52" s="2"/>
      <c r="F52" s="2"/>
      <c r="G52" s="2"/>
      <c r="H52" s="38"/>
      <c r="I52" s="38"/>
      <c r="J52" s="38"/>
      <c r="K52" s="3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2" x14ac:dyDescent="0.25">
      <c r="A53" s="83"/>
      <c r="B53" s="13"/>
      <c r="C53" s="2"/>
      <c r="D53" s="2"/>
      <c r="E53" s="2"/>
      <c r="F53" s="2"/>
      <c r="G53" s="2"/>
      <c r="H53" s="38"/>
      <c r="I53" s="38"/>
      <c r="J53" s="38"/>
      <c r="K53" s="3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2" x14ac:dyDescent="0.25">
      <c r="A54" s="83"/>
      <c r="B54" s="13"/>
      <c r="C54" s="2"/>
      <c r="D54" s="2"/>
      <c r="E54" s="2"/>
      <c r="F54" s="2"/>
      <c r="G54" s="2"/>
      <c r="H54" s="38"/>
      <c r="I54" s="38"/>
      <c r="J54" s="38"/>
      <c r="K54" s="3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2" x14ac:dyDescent="0.25">
      <c r="A55" s="83"/>
      <c r="B55" s="13"/>
      <c r="C55" s="2"/>
      <c r="D55" s="2"/>
      <c r="E55" s="2"/>
      <c r="F55" s="2"/>
      <c r="G55" s="2"/>
      <c r="H55" s="38"/>
      <c r="I55" s="38"/>
      <c r="J55" s="38"/>
      <c r="K55" s="3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2" x14ac:dyDescent="0.25">
      <c r="A56" s="83"/>
      <c r="B56" s="13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2" x14ac:dyDescent="0.25">
      <c r="A57" s="83"/>
      <c r="B57" s="13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2" x14ac:dyDescent="0.25">
      <c r="A58" s="83"/>
      <c r="B58" s="87" t="s">
        <v>68</v>
      </c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64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2" x14ac:dyDescent="0.25">
      <c r="A59" s="83"/>
      <c r="B59" s="13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2" x14ac:dyDescent="0.25">
      <c r="A60" s="83"/>
      <c r="B60" s="2"/>
      <c r="C60" s="2"/>
      <c r="D60" s="2"/>
      <c r="E60" s="2"/>
      <c r="F60" s="7" t="s">
        <v>69</v>
      </c>
      <c r="G60" s="7" t="s">
        <v>70</v>
      </c>
      <c r="H60" s="35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2" x14ac:dyDescent="0.25">
      <c r="A61" s="83"/>
      <c r="B61" s="7" t="s">
        <v>71</v>
      </c>
      <c r="C61" s="20" t="s">
        <v>72</v>
      </c>
      <c r="D61" s="21">
        <f>J4/14+0.6*J4</f>
        <v>0.94957735722172154</v>
      </c>
      <c r="E61" s="2"/>
      <c r="F61" s="7">
        <v>0</v>
      </c>
      <c r="G61" s="7">
        <v>0</v>
      </c>
      <c r="H61" s="35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2" x14ac:dyDescent="0.25">
      <c r="A62" s="83"/>
      <c r="B62" s="7" t="s">
        <v>73</v>
      </c>
      <c r="C62" s="20" t="s">
        <v>74</v>
      </c>
      <c r="D62" s="21">
        <f>2.667*D61</f>
        <v>2.5325228117103311</v>
      </c>
      <c r="E62" s="2"/>
      <c r="F62" s="39">
        <f t="shared" ref="F62:F63" si="13">D61</f>
        <v>0.94957735722172154</v>
      </c>
      <c r="G62" s="39">
        <f>D63</f>
        <v>1.7523585491428944</v>
      </c>
      <c r="H62" s="35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2" x14ac:dyDescent="0.25">
      <c r="A63" s="83"/>
      <c r="B63" s="7" t="s">
        <v>75</v>
      </c>
      <c r="C63" s="20" t="s">
        <v>76</v>
      </c>
      <c r="D63" s="21">
        <f>0.208*J2/D61</f>
        <v>1.7523585491428944</v>
      </c>
      <c r="E63" s="2"/>
      <c r="F63" s="39">
        <f t="shared" si="13"/>
        <v>2.5325228117103311</v>
      </c>
      <c r="G63" s="7">
        <v>0</v>
      </c>
      <c r="H63" s="35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2" x14ac:dyDescent="0.25">
      <c r="A64" s="83"/>
      <c r="B64" s="13"/>
      <c r="C64" s="2"/>
      <c r="D64" s="2"/>
      <c r="E64" s="2"/>
      <c r="F64" s="35"/>
      <c r="G64" s="35"/>
      <c r="H64" s="35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2" x14ac:dyDescent="0.25">
      <c r="A65" s="83"/>
      <c r="B65" s="13"/>
      <c r="C65" s="2"/>
      <c r="D65" s="2"/>
      <c r="E65" s="2"/>
      <c r="F65" s="86" t="s">
        <v>77</v>
      </c>
      <c r="G65" s="76"/>
      <c r="H65" s="64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2" x14ac:dyDescent="0.25">
      <c r="A66" s="83"/>
      <c r="B66" s="13"/>
      <c r="C66" s="2"/>
      <c r="D66" s="2"/>
      <c r="E66" s="2"/>
      <c r="F66" s="7"/>
      <c r="G66" s="7" t="s">
        <v>78</v>
      </c>
      <c r="H66" s="7" t="s">
        <v>79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2" x14ac:dyDescent="0.25">
      <c r="A67" s="83"/>
      <c r="B67" s="13"/>
      <c r="C67" s="2"/>
      <c r="D67" s="2"/>
      <c r="E67" s="2"/>
      <c r="F67" s="7" t="s">
        <v>80</v>
      </c>
      <c r="G67" s="40">
        <f>G62/F62</f>
        <v>1.8454089451647775</v>
      </c>
      <c r="H67" s="41" t="s">
        <v>81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6.4" x14ac:dyDescent="0.25">
      <c r="A68" s="83"/>
      <c r="B68" s="13"/>
      <c r="C68" s="2"/>
      <c r="D68" s="2"/>
      <c r="E68" s="2"/>
      <c r="F68" s="7" t="s">
        <v>82</v>
      </c>
      <c r="G68" s="42">
        <f>0-G62/(F63-F62)</f>
        <v>-1.1070239623064055</v>
      </c>
      <c r="H68" s="42">
        <f>G62*F63/(F63-F62)</f>
        <v>2.8035634376509297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2" x14ac:dyDescent="0.25">
      <c r="A69" s="83"/>
      <c r="B69" s="13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2" x14ac:dyDescent="0.25">
      <c r="A70" s="83"/>
      <c r="B70" s="1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2" x14ac:dyDescent="0.25">
      <c r="A71" s="83"/>
      <c r="B71" s="87" t="s">
        <v>83</v>
      </c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64"/>
      <c r="S71" s="2"/>
      <c r="T71" s="2"/>
      <c r="U71" s="2"/>
      <c r="V71" s="2"/>
      <c r="W71" s="2"/>
      <c r="X71" s="2"/>
      <c r="Y71" s="2"/>
      <c r="Z71" s="2"/>
    </row>
    <row r="72" spans="1:26" ht="13.2" x14ac:dyDescent="0.25">
      <c r="A72" s="83"/>
      <c r="B72" s="13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2" x14ac:dyDescent="0.25">
      <c r="A73" s="83"/>
      <c r="B73" s="43" t="s">
        <v>23</v>
      </c>
      <c r="C73" s="44" t="s">
        <v>57</v>
      </c>
      <c r="D73" s="44" t="s">
        <v>84</v>
      </c>
      <c r="E73" s="45">
        <f>P32</f>
        <v>0</v>
      </c>
      <c r="F73" s="45">
        <f>P33</f>
        <v>0</v>
      </c>
      <c r="G73" s="45">
        <f>P34</f>
        <v>0</v>
      </c>
      <c r="H73" s="45">
        <f>P35</f>
        <v>0</v>
      </c>
      <c r="I73" s="45">
        <f>P36</f>
        <v>0</v>
      </c>
      <c r="J73" s="45">
        <f>P37</f>
        <v>0.58465885252283478</v>
      </c>
      <c r="K73" s="45">
        <f>P38</f>
        <v>7.3909805824195551</v>
      </c>
      <c r="L73" s="45">
        <f>P39</f>
        <v>3.2436254288513657</v>
      </c>
      <c r="M73" s="45">
        <f>P40</f>
        <v>2.5333080325562758</v>
      </c>
      <c r="N73" s="45">
        <f>P41</f>
        <v>2.1773990986312111</v>
      </c>
      <c r="O73" s="45">
        <f>P42</f>
        <v>1.9513073321102983</v>
      </c>
      <c r="P73" s="45">
        <f>P43</f>
        <v>1.7902381659751079</v>
      </c>
      <c r="Q73" s="44" t="s">
        <v>85</v>
      </c>
      <c r="R73" s="32" t="s">
        <v>86</v>
      </c>
      <c r="S73" s="2"/>
      <c r="T73" s="2"/>
      <c r="U73" s="2"/>
      <c r="V73" s="2"/>
      <c r="W73" s="2"/>
      <c r="X73" s="2"/>
      <c r="Y73" s="2"/>
      <c r="Z73" s="2"/>
    </row>
    <row r="74" spans="1:26" ht="13.2" x14ac:dyDescent="0.25">
      <c r="A74" s="83"/>
      <c r="B74" s="46">
        <v>1</v>
      </c>
      <c r="C74" s="47">
        <f t="shared" ref="C74:C172" si="14">B74*$E$26/4</f>
        <v>5.0509433894772422E-2</v>
      </c>
      <c r="D74" s="48">
        <f t="shared" ref="D74:D172" si="15">IF(C74&lt;=$D$62,IF(C74&lt;=$D$61,C74*$G$67,C74*$G$68+$H$68),0)</f>
        <v>9.3210561124622032E-2</v>
      </c>
      <c r="E74" s="48">
        <f t="shared" ref="E74:E172" si="16">IF(C74&lt;=$D$62,E$73*D74,"")</f>
        <v>0</v>
      </c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5">
        <f t="shared" ref="Q74:Q172" si="17">SUM(E74:P74)</f>
        <v>0</v>
      </c>
      <c r="R74" s="33">
        <f>MAX(Q74:Q172)</f>
        <v>25.734873561365056</v>
      </c>
      <c r="S74" s="2"/>
      <c r="T74" s="2"/>
      <c r="U74" s="2"/>
      <c r="V74" s="2"/>
      <c r="W74" s="2"/>
      <c r="X74" s="2"/>
      <c r="Y74" s="2"/>
    </row>
    <row r="75" spans="1:26" ht="13.2" x14ac:dyDescent="0.25">
      <c r="A75" s="83"/>
      <c r="B75" s="46">
        <v>2</v>
      </c>
      <c r="C75" s="47">
        <f t="shared" si="14"/>
        <v>0.10101886778954484</v>
      </c>
      <c r="D75" s="48">
        <f t="shared" si="15"/>
        <v>0.18642112224924406</v>
      </c>
      <c r="E75" s="48">
        <f t="shared" si="16"/>
        <v>0</v>
      </c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5">
        <f t="shared" si="17"/>
        <v>0</v>
      </c>
      <c r="R75" s="2"/>
      <c r="S75" s="2"/>
      <c r="T75" s="2"/>
      <c r="U75" s="2"/>
      <c r="V75" s="2"/>
      <c r="W75" s="2"/>
      <c r="X75" s="2"/>
      <c r="Y75" s="2"/>
    </row>
    <row r="76" spans="1:26" ht="13.2" x14ac:dyDescent="0.25">
      <c r="A76" s="83"/>
      <c r="B76" s="46">
        <v>3</v>
      </c>
      <c r="C76" s="47">
        <f t="shared" si="14"/>
        <v>0.15152830168431727</v>
      </c>
      <c r="D76" s="48">
        <f t="shared" si="15"/>
        <v>0.27963168337386612</v>
      </c>
      <c r="E76" s="48">
        <f t="shared" si="16"/>
        <v>0</v>
      </c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5">
        <f t="shared" si="17"/>
        <v>0</v>
      </c>
      <c r="R76" s="2"/>
      <c r="S76" s="2"/>
      <c r="T76" s="2"/>
      <c r="U76" s="2"/>
      <c r="V76" s="2"/>
      <c r="W76" s="2"/>
      <c r="X76" s="2"/>
      <c r="Y76" s="2"/>
    </row>
    <row r="77" spans="1:26" ht="13.2" x14ac:dyDescent="0.25">
      <c r="A77" s="83"/>
      <c r="B77" s="46">
        <v>4</v>
      </c>
      <c r="C77" s="47">
        <f t="shared" si="14"/>
        <v>0.20203773557908969</v>
      </c>
      <c r="D77" s="48">
        <f t="shared" si="15"/>
        <v>0.37284224449848813</v>
      </c>
      <c r="E77" s="48">
        <f t="shared" si="16"/>
        <v>0</v>
      </c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5">
        <f t="shared" si="17"/>
        <v>0</v>
      </c>
      <c r="R77" s="2"/>
      <c r="S77" s="2"/>
      <c r="T77" s="2"/>
      <c r="U77" s="2"/>
      <c r="V77" s="2"/>
      <c r="W77" s="2"/>
      <c r="X77" s="2"/>
      <c r="Y77" s="2"/>
    </row>
    <row r="78" spans="1:26" ht="13.2" x14ac:dyDescent="0.25">
      <c r="A78" s="83"/>
      <c r="B78" s="46">
        <v>5</v>
      </c>
      <c r="C78" s="47">
        <f t="shared" si="14"/>
        <v>0.25254716947386213</v>
      </c>
      <c r="D78" s="48">
        <f t="shared" si="15"/>
        <v>0.46605280562311019</v>
      </c>
      <c r="E78" s="48">
        <f t="shared" si="16"/>
        <v>0</v>
      </c>
      <c r="F78" s="48">
        <f t="shared" ref="F78:F172" si="18">IF(C74&lt;=$D$62,F$73*D74,"")</f>
        <v>0</v>
      </c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5">
        <f t="shared" si="17"/>
        <v>0</v>
      </c>
      <c r="R78" s="2"/>
      <c r="S78" s="2"/>
      <c r="T78" s="2"/>
      <c r="U78" s="2"/>
      <c r="V78" s="2"/>
      <c r="W78" s="2"/>
      <c r="X78" s="2"/>
      <c r="Y78" s="2"/>
    </row>
    <row r="79" spans="1:26" ht="13.2" x14ac:dyDescent="0.25">
      <c r="A79" s="83"/>
      <c r="B79" s="46">
        <v>6</v>
      </c>
      <c r="C79" s="47">
        <f t="shared" si="14"/>
        <v>0.30305660336863455</v>
      </c>
      <c r="D79" s="48">
        <f t="shared" si="15"/>
        <v>0.55926336674773225</v>
      </c>
      <c r="E79" s="48">
        <f t="shared" si="16"/>
        <v>0</v>
      </c>
      <c r="F79" s="48">
        <f t="shared" si="18"/>
        <v>0</v>
      </c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5">
        <f t="shared" si="17"/>
        <v>0</v>
      </c>
      <c r="R79" s="2"/>
      <c r="S79" s="2"/>
      <c r="T79" s="2"/>
      <c r="U79" s="2"/>
      <c r="V79" s="2"/>
      <c r="W79" s="2"/>
      <c r="X79" s="2"/>
      <c r="Y79" s="2"/>
    </row>
    <row r="80" spans="1:26" ht="13.2" x14ac:dyDescent="0.25">
      <c r="A80" s="83"/>
      <c r="B80" s="46">
        <v>7</v>
      </c>
      <c r="C80" s="47">
        <f t="shared" si="14"/>
        <v>0.35356603726340696</v>
      </c>
      <c r="D80" s="48">
        <f t="shared" si="15"/>
        <v>0.65247392787235425</v>
      </c>
      <c r="E80" s="48">
        <f t="shared" si="16"/>
        <v>0</v>
      </c>
      <c r="F80" s="48">
        <f t="shared" si="18"/>
        <v>0</v>
      </c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5">
        <f t="shared" si="17"/>
        <v>0</v>
      </c>
      <c r="R80" s="2"/>
      <c r="S80" s="2"/>
      <c r="T80" s="2"/>
      <c r="U80" s="2"/>
      <c r="V80" s="2"/>
      <c r="W80" s="2"/>
      <c r="X80" s="2"/>
      <c r="Y80" s="2"/>
    </row>
    <row r="81" spans="1:25" ht="13.2" x14ac:dyDescent="0.25">
      <c r="A81" s="83"/>
      <c r="B81" s="46">
        <v>8</v>
      </c>
      <c r="C81" s="47">
        <f t="shared" si="14"/>
        <v>0.40407547115817938</v>
      </c>
      <c r="D81" s="48">
        <f t="shared" si="15"/>
        <v>0.74568448899697626</v>
      </c>
      <c r="E81" s="48">
        <f t="shared" si="16"/>
        <v>0</v>
      </c>
      <c r="F81" s="48">
        <f t="shared" si="18"/>
        <v>0</v>
      </c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5">
        <f t="shared" si="17"/>
        <v>0</v>
      </c>
      <c r="R81" s="2"/>
      <c r="S81" s="2"/>
      <c r="T81" s="2"/>
      <c r="U81" s="2"/>
      <c r="V81" s="2"/>
      <c r="W81" s="2"/>
      <c r="X81" s="2"/>
      <c r="Y81" s="2"/>
    </row>
    <row r="82" spans="1:25" ht="13.2" x14ac:dyDescent="0.25">
      <c r="A82" s="83"/>
      <c r="B82" s="46">
        <v>9</v>
      </c>
      <c r="C82" s="47">
        <f t="shared" si="14"/>
        <v>0.45458490505295179</v>
      </c>
      <c r="D82" s="48">
        <f t="shared" si="15"/>
        <v>0.83889505012159826</v>
      </c>
      <c r="E82" s="48">
        <f t="shared" si="16"/>
        <v>0</v>
      </c>
      <c r="F82" s="48">
        <f t="shared" si="18"/>
        <v>0</v>
      </c>
      <c r="G82" s="48">
        <f t="shared" ref="G82:G172" si="19">IF(C74&lt;=$D$62,G$73*D74,"")</f>
        <v>0</v>
      </c>
      <c r="H82" s="49"/>
      <c r="I82" s="49"/>
      <c r="J82" s="49"/>
      <c r="K82" s="49"/>
      <c r="L82" s="49"/>
      <c r="M82" s="49"/>
      <c r="N82" s="49"/>
      <c r="O82" s="49"/>
      <c r="P82" s="49"/>
      <c r="Q82" s="45">
        <f t="shared" si="17"/>
        <v>0</v>
      </c>
      <c r="R82" s="2"/>
      <c r="S82" s="2"/>
      <c r="T82" s="2"/>
      <c r="U82" s="2"/>
      <c r="V82" s="2"/>
      <c r="W82" s="2"/>
      <c r="X82" s="2"/>
      <c r="Y82" s="2"/>
    </row>
    <row r="83" spans="1:25" ht="13.2" x14ac:dyDescent="0.25">
      <c r="A83" s="83"/>
      <c r="B83" s="46">
        <v>10</v>
      </c>
      <c r="C83" s="47">
        <f t="shared" si="14"/>
        <v>0.50509433894772426</v>
      </c>
      <c r="D83" s="48">
        <f t="shared" si="15"/>
        <v>0.93210561124622038</v>
      </c>
      <c r="E83" s="48">
        <f t="shared" si="16"/>
        <v>0</v>
      </c>
      <c r="F83" s="48">
        <f t="shared" si="18"/>
        <v>0</v>
      </c>
      <c r="G83" s="48">
        <f t="shared" si="19"/>
        <v>0</v>
      </c>
      <c r="H83" s="49"/>
      <c r="I83" s="49"/>
      <c r="J83" s="49"/>
      <c r="K83" s="49"/>
      <c r="L83" s="49"/>
      <c r="M83" s="49"/>
      <c r="N83" s="49"/>
      <c r="O83" s="49"/>
      <c r="P83" s="49"/>
      <c r="Q83" s="45">
        <f t="shared" si="17"/>
        <v>0</v>
      </c>
      <c r="R83" s="2"/>
      <c r="S83" s="2"/>
      <c r="T83" s="2"/>
      <c r="U83" s="2"/>
      <c r="V83" s="2"/>
      <c r="W83" s="2"/>
      <c r="X83" s="2"/>
      <c r="Y83" s="2"/>
    </row>
    <row r="84" spans="1:25" ht="13.2" x14ac:dyDescent="0.25">
      <c r="A84" s="83"/>
      <c r="B84" s="46">
        <v>11</v>
      </c>
      <c r="C84" s="47">
        <f t="shared" si="14"/>
        <v>0.55560377284249662</v>
      </c>
      <c r="D84" s="48">
        <f t="shared" si="15"/>
        <v>1.0253161723708424</v>
      </c>
      <c r="E84" s="48">
        <f t="shared" si="16"/>
        <v>0</v>
      </c>
      <c r="F84" s="48">
        <f t="shared" si="18"/>
        <v>0</v>
      </c>
      <c r="G84" s="48">
        <f t="shared" si="19"/>
        <v>0</v>
      </c>
      <c r="H84" s="49"/>
      <c r="I84" s="49"/>
      <c r="J84" s="49"/>
      <c r="K84" s="49"/>
      <c r="L84" s="49"/>
      <c r="M84" s="49"/>
      <c r="N84" s="49"/>
      <c r="O84" s="49"/>
      <c r="P84" s="49"/>
      <c r="Q84" s="45">
        <f t="shared" si="17"/>
        <v>0</v>
      </c>
      <c r="R84" s="2"/>
      <c r="S84" s="2"/>
      <c r="T84" s="2"/>
      <c r="U84" s="2"/>
      <c r="V84" s="2"/>
      <c r="W84" s="2"/>
      <c r="X84" s="2"/>
      <c r="Y84" s="2"/>
    </row>
    <row r="85" spans="1:25" ht="13.2" x14ac:dyDescent="0.25">
      <c r="A85" s="83"/>
      <c r="B85" s="46">
        <v>12</v>
      </c>
      <c r="C85" s="47">
        <f t="shared" si="14"/>
        <v>0.60611320673726909</v>
      </c>
      <c r="D85" s="48">
        <f t="shared" si="15"/>
        <v>1.1185267334954645</v>
      </c>
      <c r="E85" s="48">
        <f t="shared" si="16"/>
        <v>0</v>
      </c>
      <c r="F85" s="48">
        <f t="shared" si="18"/>
        <v>0</v>
      </c>
      <c r="G85" s="48">
        <f t="shared" si="19"/>
        <v>0</v>
      </c>
      <c r="H85" s="49"/>
      <c r="I85" s="49"/>
      <c r="J85" s="49"/>
      <c r="K85" s="49"/>
      <c r="L85" s="49"/>
      <c r="M85" s="49"/>
      <c r="N85" s="49"/>
      <c r="O85" s="49"/>
      <c r="P85" s="49"/>
      <c r="Q85" s="45">
        <f t="shared" si="17"/>
        <v>0</v>
      </c>
      <c r="R85" s="2"/>
      <c r="S85" s="2"/>
      <c r="T85" s="2"/>
      <c r="U85" s="2"/>
      <c r="V85" s="2"/>
      <c r="W85" s="2"/>
      <c r="X85" s="2"/>
      <c r="Y85" s="2"/>
    </row>
    <row r="86" spans="1:25" ht="13.2" x14ac:dyDescent="0.25">
      <c r="A86" s="83"/>
      <c r="B86" s="46">
        <v>13</v>
      </c>
      <c r="C86" s="47">
        <f t="shared" si="14"/>
        <v>0.65662264063204145</v>
      </c>
      <c r="D86" s="48">
        <f t="shared" si="15"/>
        <v>1.2117372946200864</v>
      </c>
      <c r="E86" s="48">
        <f t="shared" si="16"/>
        <v>0</v>
      </c>
      <c r="F86" s="48">
        <f t="shared" si="18"/>
        <v>0</v>
      </c>
      <c r="G86" s="48">
        <f t="shared" si="19"/>
        <v>0</v>
      </c>
      <c r="H86" s="48">
        <f t="shared" ref="H86:H172" si="20">IF(C74&lt;=$D$62,H$73*D74,"")</f>
        <v>0</v>
      </c>
      <c r="I86" s="49"/>
      <c r="J86" s="49"/>
      <c r="K86" s="49"/>
      <c r="L86" s="49"/>
      <c r="M86" s="49"/>
      <c r="N86" s="49"/>
      <c r="O86" s="49"/>
      <c r="P86" s="49"/>
      <c r="Q86" s="45">
        <f t="shared" si="17"/>
        <v>0</v>
      </c>
      <c r="R86" s="2"/>
      <c r="S86" s="2"/>
      <c r="T86" s="2"/>
      <c r="U86" s="2"/>
      <c r="V86" s="2"/>
      <c r="W86" s="2"/>
      <c r="X86" s="2"/>
      <c r="Y86" s="2"/>
    </row>
    <row r="87" spans="1:25" ht="13.2" x14ac:dyDescent="0.25">
      <c r="A87" s="83"/>
      <c r="B87" s="46">
        <v>14</v>
      </c>
      <c r="C87" s="47">
        <f t="shared" si="14"/>
        <v>0.70713207452681393</v>
      </c>
      <c r="D87" s="48">
        <f t="shared" si="15"/>
        <v>1.3049478557447085</v>
      </c>
      <c r="E87" s="48">
        <f t="shared" si="16"/>
        <v>0</v>
      </c>
      <c r="F87" s="48">
        <f t="shared" si="18"/>
        <v>0</v>
      </c>
      <c r="G87" s="48">
        <f t="shared" si="19"/>
        <v>0</v>
      </c>
      <c r="H87" s="48">
        <f t="shared" si="20"/>
        <v>0</v>
      </c>
      <c r="I87" s="49"/>
      <c r="J87" s="49"/>
      <c r="K87" s="49"/>
      <c r="L87" s="49"/>
      <c r="M87" s="49"/>
      <c r="N87" s="49"/>
      <c r="O87" s="49"/>
      <c r="P87" s="49"/>
      <c r="Q87" s="45">
        <f t="shared" si="17"/>
        <v>0</v>
      </c>
      <c r="R87" s="2"/>
      <c r="S87" s="2"/>
      <c r="T87" s="2"/>
      <c r="U87" s="2"/>
      <c r="V87" s="2"/>
      <c r="W87" s="2"/>
      <c r="X87" s="2"/>
      <c r="Y87" s="2"/>
    </row>
    <row r="88" spans="1:25" ht="13.2" x14ac:dyDescent="0.25">
      <c r="A88" s="83"/>
      <c r="B88" s="46">
        <v>15</v>
      </c>
      <c r="C88" s="47">
        <f t="shared" si="14"/>
        <v>0.75764150842158628</v>
      </c>
      <c r="D88" s="48">
        <f t="shared" si="15"/>
        <v>1.3981584168693304</v>
      </c>
      <c r="E88" s="48">
        <f t="shared" si="16"/>
        <v>0</v>
      </c>
      <c r="F88" s="48">
        <f t="shared" si="18"/>
        <v>0</v>
      </c>
      <c r="G88" s="48">
        <f t="shared" si="19"/>
        <v>0</v>
      </c>
      <c r="H88" s="48">
        <f t="shared" si="20"/>
        <v>0</v>
      </c>
      <c r="I88" s="49"/>
      <c r="J88" s="49"/>
      <c r="K88" s="49"/>
      <c r="L88" s="49"/>
      <c r="M88" s="49"/>
      <c r="N88" s="49"/>
      <c r="O88" s="49"/>
      <c r="P88" s="49"/>
      <c r="Q88" s="45">
        <f t="shared" si="17"/>
        <v>0</v>
      </c>
      <c r="R88" s="2"/>
      <c r="S88" s="2"/>
      <c r="T88" s="2"/>
      <c r="U88" s="2"/>
      <c r="V88" s="2"/>
      <c r="W88" s="2"/>
      <c r="X88" s="2"/>
      <c r="Y88" s="2"/>
    </row>
    <row r="89" spans="1:25" ht="13.2" x14ac:dyDescent="0.25">
      <c r="A89" s="83"/>
      <c r="B89" s="46">
        <v>16</v>
      </c>
      <c r="C89" s="47">
        <f t="shared" si="14"/>
        <v>0.80815094231635876</v>
      </c>
      <c r="D89" s="48">
        <f t="shared" si="15"/>
        <v>1.4913689779939525</v>
      </c>
      <c r="E89" s="48">
        <f t="shared" si="16"/>
        <v>0</v>
      </c>
      <c r="F89" s="48">
        <f t="shared" si="18"/>
        <v>0</v>
      </c>
      <c r="G89" s="48">
        <f t="shared" si="19"/>
        <v>0</v>
      </c>
      <c r="H89" s="48">
        <f t="shared" si="20"/>
        <v>0</v>
      </c>
      <c r="I89" s="49"/>
      <c r="J89" s="49"/>
      <c r="K89" s="49"/>
      <c r="L89" s="49"/>
      <c r="M89" s="49"/>
      <c r="N89" s="49"/>
      <c r="O89" s="49"/>
      <c r="P89" s="49"/>
      <c r="Q89" s="45">
        <f t="shared" si="17"/>
        <v>0</v>
      </c>
      <c r="R89" s="2"/>
      <c r="S89" s="2"/>
      <c r="T89" s="2"/>
      <c r="U89" s="2"/>
      <c r="V89" s="2"/>
      <c r="W89" s="2"/>
      <c r="X89" s="2"/>
      <c r="Y89" s="2"/>
    </row>
    <row r="90" spans="1:25" ht="13.2" x14ac:dyDescent="0.25">
      <c r="A90" s="83"/>
      <c r="B90" s="46">
        <v>17</v>
      </c>
      <c r="C90" s="47">
        <f t="shared" si="14"/>
        <v>0.85866037621113123</v>
      </c>
      <c r="D90" s="48">
        <f t="shared" si="15"/>
        <v>1.5845795391185746</v>
      </c>
      <c r="E90" s="48">
        <f t="shared" si="16"/>
        <v>0</v>
      </c>
      <c r="F90" s="48">
        <f t="shared" si="18"/>
        <v>0</v>
      </c>
      <c r="G90" s="48">
        <f t="shared" si="19"/>
        <v>0</v>
      </c>
      <c r="H90" s="48">
        <f t="shared" si="20"/>
        <v>0</v>
      </c>
      <c r="I90" s="48">
        <f t="shared" ref="I90:I172" si="21">IF(C74&lt;=$D$62,I$73*D74,"")</f>
        <v>0</v>
      </c>
      <c r="J90" s="49"/>
      <c r="K90" s="49"/>
      <c r="L90" s="49"/>
      <c r="M90" s="49"/>
      <c r="N90" s="49"/>
      <c r="O90" s="49"/>
      <c r="P90" s="49"/>
      <c r="Q90" s="45">
        <f t="shared" si="17"/>
        <v>0</v>
      </c>
      <c r="R90" s="2"/>
      <c r="S90" s="2"/>
      <c r="T90" s="2"/>
      <c r="U90" s="2"/>
      <c r="V90" s="2"/>
      <c r="W90" s="2"/>
      <c r="X90" s="2"/>
      <c r="Y90" s="2"/>
    </row>
    <row r="91" spans="1:25" ht="13.2" x14ac:dyDescent="0.25">
      <c r="A91" s="83"/>
      <c r="B91" s="46">
        <v>18</v>
      </c>
      <c r="C91" s="47">
        <f t="shared" si="14"/>
        <v>0.90916981010590359</v>
      </c>
      <c r="D91" s="48">
        <f t="shared" si="15"/>
        <v>1.6777901002431965</v>
      </c>
      <c r="E91" s="48">
        <f t="shared" si="16"/>
        <v>0</v>
      </c>
      <c r="F91" s="48">
        <f t="shared" si="18"/>
        <v>0</v>
      </c>
      <c r="G91" s="48">
        <f t="shared" si="19"/>
        <v>0</v>
      </c>
      <c r="H91" s="48">
        <f t="shared" si="20"/>
        <v>0</v>
      </c>
      <c r="I91" s="48">
        <f t="shared" si="21"/>
        <v>0</v>
      </c>
      <c r="J91" s="49"/>
      <c r="K91" s="49"/>
      <c r="L91" s="49"/>
      <c r="M91" s="49"/>
      <c r="N91" s="49"/>
      <c r="O91" s="49"/>
      <c r="P91" s="49"/>
      <c r="Q91" s="45">
        <f t="shared" si="17"/>
        <v>0</v>
      </c>
      <c r="R91" s="2"/>
      <c r="S91" s="2"/>
      <c r="T91" s="2"/>
      <c r="U91" s="2"/>
      <c r="V91" s="2"/>
      <c r="W91" s="2"/>
      <c r="X91" s="2"/>
      <c r="Y91" s="2"/>
    </row>
    <row r="92" spans="1:25" ht="13.2" x14ac:dyDescent="0.25">
      <c r="A92" s="83"/>
      <c r="B92" s="46">
        <v>19</v>
      </c>
      <c r="C92" s="47">
        <f t="shared" si="14"/>
        <v>0.95967924400067606</v>
      </c>
      <c r="D92" s="48">
        <f t="shared" si="15"/>
        <v>1.7411755184140856</v>
      </c>
      <c r="E92" s="48">
        <f t="shared" si="16"/>
        <v>0</v>
      </c>
      <c r="F92" s="48">
        <f t="shared" si="18"/>
        <v>0</v>
      </c>
      <c r="G92" s="48">
        <f t="shared" si="19"/>
        <v>0</v>
      </c>
      <c r="H92" s="48">
        <f t="shared" si="20"/>
        <v>0</v>
      </c>
      <c r="I92" s="48">
        <f t="shared" si="21"/>
        <v>0</v>
      </c>
      <c r="J92" s="49"/>
      <c r="K92" s="49"/>
      <c r="L92" s="49"/>
      <c r="M92" s="49"/>
      <c r="N92" s="49"/>
      <c r="O92" s="49"/>
      <c r="P92" s="49"/>
      <c r="Q92" s="45">
        <f t="shared" si="17"/>
        <v>0</v>
      </c>
      <c r="R92" s="2"/>
      <c r="S92" s="2"/>
      <c r="T92" s="2"/>
      <c r="U92" s="2"/>
      <c r="V92" s="2"/>
      <c r="W92" s="2"/>
      <c r="X92" s="2"/>
      <c r="Y92" s="2"/>
    </row>
    <row r="93" spans="1:25" ht="13.2" x14ac:dyDescent="0.25">
      <c r="A93" s="83"/>
      <c r="B93" s="46">
        <v>20</v>
      </c>
      <c r="C93" s="47">
        <f t="shared" si="14"/>
        <v>1.0101886778954485</v>
      </c>
      <c r="D93" s="48">
        <f t="shared" si="15"/>
        <v>1.685260364770041</v>
      </c>
      <c r="E93" s="48">
        <f t="shared" si="16"/>
        <v>0</v>
      </c>
      <c r="F93" s="48">
        <f t="shared" si="18"/>
        <v>0</v>
      </c>
      <c r="G93" s="48">
        <f t="shared" si="19"/>
        <v>0</v>
      </c>
      <c r="H93" s="48">
        <f t="shared" si="20"/>
        <v>0</v>
      </c>
      <c r="I93" s="48">
        <f t="shared" si="21"/>
        <v>0</v>
      </c>
      <c r="J93" s="49"/>
      <c r="K93" s="49"/>
      <c r="L93" s="49"/>
      <c r="M93" s="49"/>
      <c r="N93" s="49"/>
      <c r="O93" s="49"/>
      <c r="P93" s="49"/>
      <c r="Q93" s="45">
        <f t="shared" si="17"/>
        <v>0</v>
      </c>
      <c r="R93" s="2"/>
      <c r="S93" s="2"/>
      <c r="T93" s="2"/>
      <c r="U93" s="2"/>
      <c r="V93" s="2"/>
      <c r="W93" s="2"/>
      <c r="X93" s="2"/>
      <c r="Y93" s="2"/>
    </row>
    <row r="94" spans="1:25" ht="13.2" x14ac:dyDescent="0.25">
      <c r="A94" s="83"/>
      <c r="B94" s="46">
        <v>21</v>
      </c>
      <c r="C94" s="47">
        <f t="shared" si="14"/>
        <v>1.0606981117902208</v>
      </c>
      <c r="D94" s="48">
        <f t="shared" si="15"/>
        <v>1.629345211125997</v>
      </c>
      <c r="E94" s="48">
        <f t="shared" si="16"/>
        <v>0</v>
      </c>
      <c r="F94" s="48">
        <f t="shared" si="18"/>
        <v>0</v>
      </c>
      <c r="G94" s="48">
        <f t="shared" si="19"/>
        <v>0</v>
      </c>
      <c r="H94" s="48">
        <f t="shared" si="20"/>
        <v>0</v>
      </c>
      <c r="I94" s="48">
        <f t="shared" si="21"/>
        <v>0</v>
      </c>
      <c r="J94" s="48">
        <f t="shared" ref="J94:J172" si="22">IF(C74&lt;=$D$62,J$73*D74,"")</f>
        <v>5.449637971013107E-2</v>
      </c>
      <c r="K94" s="49"/>
      <c r="L94" s="49"/>
      <c r="M94" s="49"/>
      <c r="N94" s="49"/>
      <c r="O94" s="49"/>
      <c r="P94" s="49"/>
      <c r="Q94" s="45">
        <f t="shared" si="17"/>
        <v>5.449637971013107E-2</v>
      </c>
      <c r="R94" s="2"/>
      <c r="S94" s="2"/>
      <c r="T94" s="2"/>
      <c r="U94" s="2"/>
      <c r="V94" s="2"/>
      <c r="W94" s="2"/>
      <c r="X94" s="2"/>
      <c r="Y94" s="2"/>
    </row>
    <row r="95" spans="1:25" ht="13.2" x14ac:dyDescent="0.25">
      <c r="A95" s="83"/>
      <c r="B95" s="46">
        <v>22</v>
      </c>
      <c r="C95" s="47">
        <f t="shared" si="14"/>
        <v>1.1112075456849932</v>
      </c>
      <c r="D95" s="48">
        <f t="shared" si="15"/>
        <v>1.5734300574819524</v>
      </c>
      <c r="E95" s="48">
        <f t="shared" si="16"/>
        <v>0</v>
      </c>
      <c r="F95" s="48">
        <f t="shared" si="18"/>
        <v>0</v>
      </c>
      <c r="G95" s="48">
        <f t="shared" si="19"/>
        <v>0</v>
      </c>
      <c r="H95" s="48">
        <f t="shared" si="20"/>
        <v>0</v>
      </c>
      <c r="I95" s="48">
        <f t="shared" si="21"/>
        <v>0</v>
      </c>
      <c r="J95" s="48">
        <f t="shared" si="22"/>
        <v>0.10899275942026214</v>
      </c>
      <c r="K95" s="49"/>
      <c r="L95" s="49"/>
      <c r="M95" s="49"/>
      <c r="N95" s="49"/>
      <c r="O95" s="49"/>
      <c r="P95" s="49"/>
      <c r="Q95" s="45">
        <f t="shared" si="17"/>
        <v>0.10899275942026214</v>
      </c>
      <c r="R95" s="2"/>
      <c r="S95" s="2"/>
      <c r="T95" s="2"/>
      <c r="U95" s="2"/>
      <c r="V95" s="2"/>
      <c r="W95" s="2"/>
      <c r="X95" s="2"/>
      <c r="Y95" s="2"/>
    </row>
    <row r="96" spans="1:25" ht="13.2" x14ac:dyDescent="0.25">
      <c r="A96" s="83"/>
      <c r="B96" s="46">
        <v>23</v>
      </c>
      <c r="C96" s="47">
        <f t="shared" si="14"/>
        <v>1.1617169795797657</v>
      </c>
      <c r="D96" s="48">
        <f t="shared" si="15"/>
        <v>1.5175149038379079</v>
      </c>
      <c r="E96" s="48">
        <f t="shared" si="16"/>
        <v>0</v>
      </c>
      <c r="F96" s="48">
        <f t="shared" si="18"/>
        <v>0</v>
      </c>
      <c r="G96" s="48">
        <f t="shared" si="19"/>
        <v>0</v>
      </c>
      <c r="H96" s="48">
        <f t="shared" si="20"/>
        <v>0</v>
      </c>
      <c r="I96" s="48">
        <f t="shared" si="21"/>
        <v>0</v>
      </c>
      <c r="J96" s="48">
        <f t="shared" si="22"/>
        <v>0.16348913913039323</v>
      </c>
      <c r="K96" s="49"/>
      <c r="L96" s="49"/>
      <c r="M96" s="49"/>
      <c r="N96" s="49"/>
      <c r="O96" s="49"/>
      <c r="P96" s="49"/>
      <c r="Q96" s="45">
        <f t="shared" si="17"/>
        <v>0.16348913913039323</v>
      </c>
      <c r="R96" s="2"/>
      <c r="S96" s="2"/>
      <c r="T96" s="2"/>
      <c r="U96" s="2"/>
      <c r="V96" s="2"/>
      <c r="W96" s="2"/>
      <c r="X96" s="2"/>
      <c r="Y96" s="2"/>
    </row>
    <row r="97" spans="1:25" ht="13.2" x14ac:dyDescent="0.25">
      <c r="A97" s="83"/>
      <c r="B97" s="46">
        <v>24</v>
      </c>
      <c r="C97" s="47">
        <f t="shared" si="14"/>
        <v>1.2122264134745382</v>
      </c>
      <c r="D97" s="48">
        <f t="shared" si="15"/>
        <v>1.4615997501938633</v>
      </c>
      <c r="E97" s="48">
        <f t="shared" si="16"/>
        <v>0</v>
      </c>
      <c r="F97" s="48">
        <f t="shared" si="18"/>
        <v>0</v>
      </c>
      <c r="G97" s="48">
        <f t="shared" si="19"/>
        <v>0</v>
      </c>
      <c r="H97" s="48">
        <f t="shared" si="20"/>
        <v>0</v>
      </c>
      <c r="I97" s="48">
        <f t="shared" si="21"/>
        <v>0</v>
      </c>
      <c r="J97" s="48">
        <f t="shared" si="22"/>
        <v>0.21798551884052428</v>
      </c>
      <c r="K97" s="49"/>
      <c r="L97" s="49"/>
      <c r="M97" s="49"/>
      <c r="N97" s="49"/>
      <c r="O97" s="49"/>
      <c r="P97" s="49"/>
      <c r="Q97" s="45">
        <f t="shared" si="17"/>
        <v>0.21798551884052428</v>
      </c>
      <c r="R97" s="2"/>
      <c r="S97" s="2"/>
      <c r="T97" s="2"/>
      <c r="U97" s="2"/>
      <c r="V97" s="2"/>
      <c r="W97" s="2"/>
      <c r="X97" s="2"/>
      <c r="Y97" s="2"/>
    </row>
    <row r="98" spans="1:25" ht="13.2" x14ac:dyDescent="0.25">
      <c r="A98" s="83"/>
      <c r="B98" s="46">
        <v>25</v>
      </c>
      <c r="C98" s="47">
        <f t="shared" si="14"/>
        <v>1.2627358473693107</v>
      </c>
      <c r="D98" s="48">
        <f t="shared" si="15"/>
        <v>1.405684596549819</v>
      </c>
      <c r="E98" s="48">
        <f t="shared" si="16"/>
        <v>0</v>
      </c>
      <c r="F98" s="48">
        <f t="shared" si="18"/>
        <v>0</v>
      </c>
      <c r="G98" s="48">
        <f t="shared" si="19"/>
        <v>0</v>
      </c>
      <c r="H98" s="48">
        <f t="shared" si="20"/>
        <v>0</v>
      </c>
      <c r="I98" s="48">
        <f t="shared" si="21"/>
        <v>0</v>
      </c>
      <c r="J98" s="48">
        <f t="shared" si="22"/>
        <v>0.27248189855065535</v>
      </c>
      <c r="K98" s="48">
        <f t="shared" ref="K98:K172" si="23">IF(C74&lt;=$D$62,K$73*D74,"")</f>
        <v>0.68891744734851246</v>
      </c>
      <c r="L98" s="49"/>
      <c r="M98" s="49"/>
      <c r="N98" s="49"/>
      <c r="O98" s="49"/>
      <c r="P98" s="49"/>
      <c r="Q98" s="45">
        <f t="shared" si="17"/>
        <v>0.96139934589916787</v>
      </c>
      <c r="R98" s="2"/>
      <c r="S98" s="2"/>
      <c r="T98" s="2"/>
      <c r="U98" s="2"/>
      <c r="V98" s="2"/>
      <c r="W98" s="2"/>
      <c r="X98" s="2"/>
      <c r="Y98" s="2"/>
    </row>
    <row r="99" spans="1:25" ht="13.2" x14ac:dyDescent="0.25">
      <c r="A99" s="83"/>
      <c r="B99" s="46">
        <v>26</v>
      </c>
      <c r="C99" s="47">
        <f t="shared" si="14"/>
        <v>1.3132452812640829</v>
      </c>
      <c r="D99" s="48">
        <f t="shared" si="15"/>
        <v>1.3497694429057747</v>
      </c>
      <c r="E99" s="48">
        <f t="shared" si="16"/>
        <v>0</v>
      </c>
      <c r="F99" s="48">
        <f t="shared" si="18"/>
        <v>0</v>
      </c>
      <c r="G99" s="48">
        <f t="shared" si="19"/>
        <v>0</v>
      </c>
      <c r="H99" s="48">
        <f t="shared" si="20"/>
        <v>0</v>
      </c>
      <c r="I99" s="48">
        <f t="shared" si="21"/>
        <v>0</v>
      </c>
      <c r="J99" s="48">
        <f t="shared" si="22"/>
        <v>0.32697827826078646</v>
      </c>
      <c r="K99" s="48">
        <f t="shared" si="23"/>
        <v>1.3778348946970249</v>
      </c>
      <c r="L99" s="49"/>
      <c r="M99" s="49"/>
      <c r="N99" s="49"/>
      <c r="O99" s="49"/>
      <c r="P99" s="49"/>
      <c r="Q99" s="45">
        <f t="shared" si="17"/>
        <v>1.7048131729578113</v>
      </c>
      <c r="R99" s="2"/>
      <c r="S99" s="2"/>
      <c r="T99" s="2"/>
      <c r="U99" s="2"/>
      <c r="V99" s="2"/>
      <c r="W99" s="2"/>
      <c r="X99" s="2"/>
      <c r="Y99" s="2"/>
    </row>
    <row r="100" spans="1:25" ht="13.2" x14ac:dyDescent="0.25">
      <c r="A100" s="83"/>
      <c r="B100" s="46">
        <v>27</v>
      </c>
      <c r="C100" s="47">
        <f t="shared" si="14"/>
        <v>1.3637547151588554</v>
      </c>
      <c r="D100" s="48">
        <f t="shared" si="15"/>
        <v>1.2938542892617302</v>
      </c>
      <c r="E100" s="48">
        <f t="shared" si="16"/>
        <v>0</v>
      </c>
      <c r="F100" s="48">
        <f t="shared" si="18"/>
        <v>0</v>
      </c>
      <c r="G100" s="48">
        <f t="shared" si="19"/>
        <v>0</v>
      </c>
      <c r="H100" s="48">
        <f t="shared" si="20"/>
        <v>0</v>
      </c>
      <c r="I100" s="48">
        <f t="shared" si="21"/>
        <v>0</v>
      </c>
      <c r="J100" s="48">
        <f t="shared" si="22"/>
        <v>0.38147465797091751</v>
      </c>
      <c r="K100" s="48">
        <f t="shared" si="23"/>
        <v>2.0667523420455378</v>
      </c>
      <c r="L100" s="49"/>
      <c r="M100" s="49"/>
      <c r="N100" s="49"/>
      <c r="O100" s="49"/>
      <c r="P100" s="49"/>
      <c r="Q100" s="45">
        <f t="shared" si="17"/>
        <v>2.4482270000164554</v>
      </c>
      <c r="R100" s="2"/>
      <c r="S100" s="2"/>
      <c r="T100" s="2"/>
      <c r="U100" s="2"/>
      <c r="V100" s="2"/>
      <c r="W100" s="2"/>
      <c r="X100" s="2"/>
      <c r="Y100" s="2"/>
    </row>
    <row r="101" spans="1:25" ht="13.2" x14ac:dyDescent="0.25">
      <c r="A101" s="83"/>
      <c r="B101" s="46">
        <v>28</v>
      </c>
      <c r="C101" s="47">
        <f t="shared" si="14"/>
        <v>1.4142641490536279</v>
      </c>
      <c r="D101" s="48">
        <f t="shared" si="15"/>
        <v>1.2379391356176856</v>
      </c>
      <c r="E101" s="48">
        <f t="shared" si="16"/>
        <v>0</v>
      </c>
      <c r="F101" s="48">
        <f t="shared" si="18"/>
        <v>0</v>
      </c>
      <c r="G101" s="48">
        <f t="shared" si="19"/>
        <v>0</v>
      </c>
      <c r="H101" s="48">
        <f t="shared" si="20"/>
        <v>0</v>
      </c>
      <c r="I101" s="48">
        <f t="shared" si="21"/>
        <v>0</v>
      </c>
      <c r="J101" s="48">
        <f t="shared" si="22"/>
        <v>0.43597103768104856</v>
      </c>
      <c r="K101" s="48">
        <f t="shared" si="23"/>
        <v>2.7556697893940498</v>
      </c>
      <c r="L101" s="49"/>
      <c r="M101" s="49"/>
      <c r="N101" s="49"/>
      <c r="O101" s="49"/>
      <c r="P101" s="49"/>
      <c r="Q101" s="45">
        <f t="shared" si="17"/>
        <v>3.1916408270750982</v>
      </c>
      <c r="R101" s="2"/>
      <c r="S101" s="2"/>
      <c r="T101" s="2"/>
      <c r="U101" s="2"/>
      <c r="V101" s="2"/>
      <c r="W101" s="2"/>
      <c r="X101" s="2"/>
      <c r="Y101" s="2"/>
    </row>
    <row r="102" spans="1:25" ht="13.2" x14ac:dyDescent="0.25">
      <c r="A102" s="83"/>
      <c r="B102" s="46">
        <v>29</v>
      </c>
      <c r="C102" s="47">
        <f t="shared" si="14"/>
        <v>1.4647735829484003</v>
      </c>
      <c r="D102" s="48">
        <f t="shared" si="15"/>
        <v>1.1820239819736413</v>
      </c>
      <c r="E102" s="48">
        <f t="shared" si="16"/>
        <v>0</v>
      </c>
      <c r="F102" s="48">
        <f t="shared" si="18"/>
        <v>0</v>
      </c>
      <c r="G102" s="48">
        <f t="shared" si="19"/>
        <v>0</v>
      </c>
      <c r="H102" s="48">
        <f t="shared" si="20"/>
        <v>0</v>
      </c>
      <c r="I102" s="48">
        <f t="shared" si="21"/>
        <v>0</v>
      </c>
      <c r="J102" s="48">
        <f t="shared" si="22"/>
        <v>0.49046741739117961</v>
      </c>
      <c r="K102" s="48">
        <f t="shared" si="23"/>
        <v>3.4445872367425627</v>
      </c>
      <c r="L102" s="48">
        <f t="shared" ref="L102:L172" si="24">IF(C74&lt;=$D$62,L$73*D74,"")</f>
        <v>0.30234014630132861</v>
      </c>
      <c r="M102" s="49"/>
      <c r="N102" s="49"/>
      <c r="O102" s="49"/>
      <c r="P102" s="49"/>
      <c r="Q102" s="45">
        <f t="shared" si="17"/>
        <v>4.2373948004350712</v>
      </c>
      <c r="R102" s="2"/>
      <c r="S102" s="2"/>
      <c r="T102" s="2"/>
      <c r="U102" s="2"/>
      <c r="V102" s="2"/>
      <c r="W102" s="2"/>
      <c r="X102" s="2"/>
      <c r="Y102" s="2"/>
    </row>
    <row r="103" spans="1:25" ht="13.2" x14ac:dyDescent="0.25">
      <c r="A103" s="83"/>
      <c r="B103" s="46">
        <v>30</v>
      </c>
      <c r="C103" s="47">
        <f t="shared" si="14"/>
        <v>1.5152830168431726</v>
      </c>
      <c r="D103" s="48">
        <f t="shared" si="15"/>
        <v>1.126108828329597</v>
      </c>
      <c r="E103" s="48">
        <f t="shared" si="16"/>
        <v>0</v>
      </c>
      <c r="F103" s="48">
        <f t="shared" si="18"/>
        <v>0</v>
      </c>
      <c r="G103" s="48">
        <f t="shared" si="19"/>
        <v>0</v>
      </c>
      <c r="H103" s="48">
        <f t="shared" si="20"/>
        <v>0</v>
      </c>
      <c r="I103" s="48">
        <f t="shared" si="21"/>
        <v>0</v>
      </c>
      <c r="J103" s="48">
        <f t="shared" si="22"/>
        <v>0.54496379710131071</v>
      </c>
      <c r="K103" s="48">
        <f t="shared" si="23"/>
        <v>4.1335046840910756</v>
      </c>
      <c r="L103" s="48">
        <f t="shared" si="24"/>
        <v>0.60468029260265721</v>
      </c>
      <c r="M103" s="49"/>
      <c r="N103" s="49"/>
      <c r="O103" s="49"/>
      <c r="P103" s="49"/>
      <c r="Q103" s="45">
        <f t="shared" si="17"/>
        <v>5.2831487737950429</v>
      </c>
      <c r="R103" s="2"/>
      <c r="S103" s="2"/>
      <c r="T103" s="2"/>
      <c r="U103" s="2"/>
      <c r="V103" s="2"/>
      <c r="W103" s="2"/>
      <c r="X103" s="2"/>
      <c r="Y103" s="2"/>
    </row>
    <row r="104" spans="1:25" ht="13.2" x14ac:dyDescent="0.25">
      <c r="A104" s="83"/>
      <c r="B104" s="46">
        <v>31</v>
      </c>
      <c r="C104" s="47">
        <f t="shared" si="14"/>
        <v>1.565792450737945</v>
      </c>
      <c r="D104" s="48">
        <f t="shared" si="15"/>
        <v>1.0701936746855525</v>
      </c>
      <c r="E104" s="48">
        <f t="shared" si="16"/>
        <v>0</v>
      </c>
      <c r="F104" s="48">
        <f t="shared" si="18"/>
        <v>0</v>
      </c>
      <c r="G104" s="48">
        <f t="shared" si="19"/>
        <v>0</v>
      </c>
      <c r="H104" s="48">
        <f t="shared" si="20"/>
        <v>0</v>
      </c>
      <c r="I104" s="48">
        <f t="shared" si="21"/>
        <v>0</v>
      </c>
      <c r="J104" s="48">
        <f t="shared" si="22"/>
        <v>0.59946017681144181</v>
      </c>
      <c r="K104" s="48">
        <f t="shared" si="23"/>
        <v>4.8224221314395876</v>
      </c>
      <c r="L104" s="48">
        <f t="shared" si="24"/>
        <v>0.90702043890398587</v>
      </c>
      <c r="M104" s="49"/>
      <c r="N104" s="49"/>
      <c r="O104" s="49"/>
      <c r="P104" s="49"/>
      <c r="Q104" s="45">
        <f t="shared" si="17"/>
        <v>6.3289027471550154</v>
      </c>
      <c r="R104" s="2"/>
      <c r="S104" s="2"/>
      <c r="T104" s="2"/>
      <c r="U104" s="2"/>
      <c r="V104" s="2"/>
      <c r="W104" s="2"/>
      <c r="X104" s="2"/>
      <c r="Y104" s="2"/>
    </row>
    <row r="105" spans="1:25" ht="13.2" x14ac:dyDescent="0.25">
      <c r="A105" s="83"/>
      <c r="B105" s="46">
        <v>32</v>
      </c>
      <c r="C105" s="47">
        <f t="shared" si="14"/>
        <v>1.6163018846327175</v>
      </c>
      <c r="D105" s="48">
        <f t="shared" si="15"/>
        <v>1.014278521041508</v>
      </c>
      <c r="E105" s="48">
        <f t="shared" si="16"/>
        <v>0</v>
      </c>
      <c r="F105" s="48">
        <f t="shared" si="18"/>
        <v>0</v>
      </c>
      <c r="G105" s="48">
        <f t="shared" si="19"/>
        <v>0</v>
      </c>
      <c r="H105" s="48">
        <f t="shared" si="20"/>
        <v>0</v>
      </c>
      <c r="I105" s="48">
        <f t="shared" si="21"/>
        <v>0</v>
      </c>
      <c r="J105" s="48">
        <f t="shared" si="22"/>
        <v>0.65395655652157292</v>
      </c>
      <c r="K105" s="48">
        <f t="shared" si="23"/>
        <v>5.5113395787880997</v>
      </c>
      <c r="L105" s="48">
        <f t="shared" si="24"/>
        <v>1.2093605852053144</v>
      </c>
      <c r="M105" s="49"/>
      <c r="N105" s="49"/>
      <c r="O105" s="49"/>
      <c r="P105" s="49"/>
      <c r="Q105" s="45">
        <f t="shared" si="17"/>
        <v>7.3746567205149871</v>
      </c>
      <c r="R105" s="2"/>
      <c r="S105" s="2"/>
      <c r="T105" s="2"/>
      <c r="U105" s="2"/>
      <c r="V105" s="2"/>
      <c r="W105" s="2"/>
      <c r="X105" s="2"/>
      <c r="Y105" s="2"/>
    </row>
    <row r="106" spans="1:25" ht="13.2" x14ac:dyDescent="0.25">
      <c r="A106" s="83"/>
      <c r="B106" s="46">
        <v>33</v>
      </c>
      <c r="C106" s="47">
        <f t="shared" si="14"/>
        <v>1.66681131852749</v>
      </c>
      <c r="D106" s="48">
        <f t="shared" si="15"/>
        <v>0.95836336739746364</v>
      </c>
      <c r="E106" s="48">
        <f t="shared" si="16"/>
        <v>0</v>
      </c>
      <c r="F106" s="48">
        <f t="shared" si="18"/>
        <v>0</v>
      </c>
      <c r="G106" s="48">
        <f t="shared" si="19"/>
        <v>0</v>
      </c>
      <c r="H106" s="48">
        <f t="shared" si="20"/>
        <v>0</v>
      </c>
      <c r="I106" s="48">
        <f t="shared" si="21"/>
        <v>0</v>
      </c>
      <c r="J106" s="48">
        <f t="shared" si="22"/>
        <v>0.70845293623170391</v>
      </c>
      <c r="K106" s="48">
        <f t="shared" si="23"/>
        <v>6.2002570261366126</v>
      </c>
      <c r="L106" s="48">
        <f t="shared" si="24"/>
        <v>1.5117007315066431</v>
      </c>
      <c r="M106" s="48">
        <f t="shared" ref="M106:M172" si="25">IF(C74&lt;=$D$62,M$73*D74,"")</f>
        <v>0.23613106321608274</v>
      </c>
      <c r="N106" s="49"/>
      <c r="O106" s="49"/>
      <c r="P106" s="49"/>
      <c r="Q106" s="45">
        <f t="shared" si="17"/>
        <v>8.656541757091043</v>
      </c>
      <c r="R106" s="2"/>
      <c r="S106" s="2"/>
      <c r="T106" s="2"/>
      <c r="U106" s="2"/>
      <c r="V106" s="2"/>
      <c r="W106" s="2"/>
      <c r="X106" s="2"/>
      <c r="Y106" s="2"/>
    </row>
    <row r="107" spans="1:25" ht="13.2" x14ac:dyDescent="0.25">
      <c r="A107" s="83"/>
      <c r="B107" s="46">
        <v>34</v>
      </c>
      <c r="C107" s="47">
        <f t="shared" si="14"/>
        <v>1.7173207524222625</v>
      </c>
      <c r="D107" s="48">
        <f t="shared" si="15"/>
        <v>0.9024482137534191</v>
      </c>
      <c r="E107" s="48">
        <f t="shared" si="16"/>
        <v>0</v>
      </c>
      <c r="F107" s="48">
        <f t="shared" si="18"/>
        <v>0</v>
      </c>
      <c r="G107" s="48">
        <f t="shared" si="19"/>
        <v>0</v>
      </c>
      <c r="H107" s="48">
        <f t="shared" si="20"/>
        <v>0</v>
      </c>
      <c r="I107" s="48">
        <f t="shared" si="21"/>
        <v>0</v>
      </c>
      <c r="J107" s="48">
        <f t="shared" si="22"/>
        <v>0.76294931594183502</v>
      </c>
      <c r="K107" s="48">
        <f t="shared" si="23"/>
        <v>6.8891744734851255</v>
      </c>
      <c r="L107" s="48">
        <f t="shared" si="24"/>
        <v>1.8140408778079717</v>
      </c>
      <c r="M107" s="48">
        <f t="shared" si="25"/>
        <v>0.47226212643216547</v>
      </c>
      <c r="N107" s="49"/>
      <c r="O107" s="49"/>
      <c r="P107" s="49"/>
      <c r="Q107" s="45">
        <f t="shared" si="17"/>
        <v>9.938426793667098</v>
      </c>
      <c r="R107" s="2"/>
      <c r="S107" s="2"/>
      <c r="T107" s="2"/>
      <c r="U107" s="2"/>
      <c r="V107" s="2"/>
      <c r="W107" s="2"/>
      <c r="X107" s="2"/>
      <c r="Y107" s="2"/>
    </row>
    <row r="108" spans="1:25" ht="13.2" x14ac:dyDescent="0.25">
      <c r="A108" s="83"/>
      <c r="B108" s="46">
        <v>35</v>
      </c>
      <c r="C108" s="47">
        <f t="shared" si="14"/>
        <v>1.7678301863170347</v>
      </c>
      <c r="D108" s="48">
        <f t="shared" si="15"/>
        <v>0.84653306010937479</v>
      </c>
      <c r="E108" s="48">
        <f t="shared" si="16"/>
        <v>0</v>
      </c>
      <c r="F108" s="48">
        <f t="shared" si="18"/>
        <v>0</v>
      </c>
      <c r="G108" s="48">
        <f t="shared" si="19"/>
        <v>0</v>
      </c>
      <c r="H108" s="48">
        <f t="shared" si="20"/>
        <v>0</v>
      </c>
      <c r="I108" s="48">
        <f t="shared" si="21"/>
        <v>0</v>
      </c>
      <c r="J108" s="48">
        <f t="shared" si="22"/>
        <v>0.81744569565196601</v>
      </c>
      <c r="K108" s="48">
        <f t="shared" si="23"/>
        <v>7.5780919208336375</v>
      </c>
      <c r="L108" s="48">
        <f t="shared" si="24"/>
        <v>2.1163810241093</v>
      </c>
      <c r="M108" s="48">
        <f t="shared" si="25"/>
        <v>0.70839318964824827</v>
      </c>
      <c r="N108" s="49"/>
      <c r="O108" s="49"/>
      <c r="P108" s="49"/>
      <c r="Q108" s="45">
        <f t="shared" si="17"/>
        <v>11.220311830243151</v>
      </c>
      <c r="R108" s="2"/>
      <c r="S108" s="2"/>
      <c r="T108" s="2"/>
      <c r="U108" s="2"/>
      <c r="V108" s="2"/>
      <c r="W108" s="2"/>
      <c r="X108" s="2"/>
      <c r="Y108" s="2"/>
    </row>
    <row r="109" spans="1:25" ht="13.2" x14ac:dyDescent="0.25">
      <c r="A109" s="83"/>
      <c r="B109" s="46">
        <v>36</v>
      </c>
      <c r="C109" s="47">
        <f t="shared" si="14"/>
        <v>1.8183396202118072</v>
      </c>
      <c r="D109" s="48">
        <f t="shared" si="15"/>
        <v>0.79061790646533048</v>
      </c>
      <c r="E109" s="48">
        <f t="shared" si="16"/>
        <v>0</v>
      </c>
      <c r="F109" s="48">
        <f t="shared" si="18"/>
        <v>0</v>
      </c>
      <c r="G109" s="48">
        <f t="shared" si="19"/>
        <v>0</v>
      </c>
      <c r="H109" s="48">
        <f t="shared" si="20"/>
        <v>0</v>
      </c>
      <c r="I109" s="48">
        <f t="shared" si="21"/>
        <v>0</v>
      </c>
      <c r="J109" s="48">
        <f t="shared" si="22"/>
        <v>0.87194207536209711</v>
      </c>
      <c r="K109" s="48">
        <f t="shared" si="23"/>
        <v>8.2670093681821513</v>
      </c>
      <c r="L109" s="48">
        <f t="shared" si="24"/>
        <v>2.4187211704106288</v>
      </c>
      <c r="M109" s="48">
        <f t="shared" si="25"/>
        <v>0.94452425286433095</v>
      </c>
      <c r="N109" s="49"/>
      <c r="O109" s="49"/>
      <c r="P109" s="49"/>
      <c r="Q109" s="45">
        <f t="shared" si="17"/>
        <v>12.50219686681921</v>
      </c>
      <c r="R109" s="2"/>
      <c r="S109" s="2"/>
      <c r="T109" s="2"/>
      <c r="U109" s="2"/>
      <c r="V109" s="2"/>
      <c r="W109" s="2"/>
      <c r="X109" s="2"/>
      <c r="Y109" s="2"/>
    </row>
    <row r="110" spans="1:25" ht="13.2" x14ac:dyDescent="0.25">
      <c r="A110" s="83"/>
      <c r="B110" s="46">
        <v>37</v>
      </c>
      <c r="C110" s="47">
        <f t="shared" si="14"/>
        <v>1.8688490541065796</v>
      </c>
      <c r="D110" s="48">
        <f t="shared" si="15"/>
        <v>0.73470275282128572</v>
      </c>
      <c r="E110" s="48">
        <f t="shared" si="16"/>
        <v>0</v>
      </c>
      <c r="F110" s="48">
        <f t="shared" si="18"/>
        <v>0</v>
      </c>
      <c r="G110" s="48">
        <f t="shared" si="19"/>
        <v>0</v>
      </c>
      <c r="H110" s="48">
        <f t="shared" si="20"/>
        <v>0</v>
      </c>
      <c r="I110" s="48">
        <f t="shared" si="21"/>
        <v>0</v>
      </c>
      <c r="J110" s="48">
        <f t="shared" si="22"/>
        <v>0.92643845507222822</v>
      </c>
      <c r="K110" s="48">
        <f t="shared" si="23"/>
        <v>8.9559268155306615</v>
      </c>
      <c r="L110" s="48">
        <f t="shared" si="24"/>
        <v>2.7210613167119573</v>
      </c>
      <c r="M110" s="48">
        <f t="shared" si="25"/>
        <v>1.1806553160804136</v>
      </c>
      <c r="N110" s="48">
        <f t="shared" ref="N110:N172" si="26">IF(C74&lt;=$D$62,N$73*D74,"")</f>
        <v>0.20295659177566142</v>
      </c>
      <c r="O110" s="49"/>
      <c r="P110" s="49"/>
      <c r="Q110" s="45">
        <f t="shared" si="17"/>
        <v>13.987038495170921</v>
      </c>
      <c r="R110" s="2"/>
      <c r="S110" s="2"/>
      <c r="T110" s="2"/>
      <c r="U110" s="2"/>
      <c r="V110" s="2"/>
      <c r="W110" s="2"/>
      <c r="X110" s="2"/>
      <c r="Y110" s="2"/>
    </row>
    <row r="111" spans="1:25" ht="13.2" x14ac:dyDescent="0.25">
      <c r="A111" s="83"/>
      <c r="B111" s="46">
        <v>38</v>
      </c>
      <c r="C111" s="47">
        <f t="shared" si="14"/>
        <v>1.9193584880013521</v>
      </c>
      <c r="D111" s="48">
        <f t="shared" si="15"/>
        <v>0.67878759917724141</v>
      </c>
      <c r="E111" s="48">
        <f t="shared" si="16"/>
        <v>0</v>
      </c>
      <c r="F111" s="48">
        <f t="shared" si="18"/>
        <v>0</v>
      </c>
      <c r="G111" s="48">
        <f t="shared" si="19"/>
        <v>0</v>
      </c>
      <c r="H111" s="48">
        <f t="shared" si="20"/>
        <v>0</v>
      </c>
      <c r="I111" s="48">
        <f t="shared" si="21"/>
        <v>0</v>
      </c>
      <c r="J111" s="48">
        <f t="shared" si="22"/>
        <v>0.98093483478235921</v>
      </c>
      <c r="K111" s="48">
        <f t="shared" si="23"/>
        <v>9.6448442628791753</v>
      </c>
      <c r="L111" s="48">
        <f t="shared" si="24"/>
        <v>3.0234014630132862</v>
      </c>
      <c r="M111" s="48">
        <f t="shared" si="25"/>
        <v>1.4167863792964965</v>
      </c>
      <c r="N111" s="48">
        <f t="shared" si="26"/>
        <v>0.40591318355132283</v>
      </c>
      <c r="O111" s="49"/>
      <c r="P111" s="49"/>
      <c r="Q111" s="45">
        <f t="shared" si="17"/>
        <v>15.471880123522642</v>
      </c>
      <c r="R111" s="2"/>
      <c r="S111" s="2"/>
      <c r="T111" s="2"/>
      <c r="U111" s="2"/>
      <c r="V111" s="2"/>
      <c r="W111" s="2"/>
      <c r="X111" s="2"/>
      <c r="Y111" s="2"/>
    </row>
    <row r="112" spans="1:25" ht="13.2" x14ac:dyDescent="0.25">
      <c r="A112" s="83"/>
      <c r="B112" s="46">
        <v>39</v>
      </c>
      <c r="C112" s="47">
        <f t="shared" si="14"/>
        <v>1.9698679218961244</v>
      </c>
      <c r="D112" s="48">
        <f t="shared" si="15"/>
        <v>0.62287244553319709</v>
      </c>
      <c r="E112" s="48">
        <f t="shared" si="16"/>
        <v>0</v>
      </c>
      <c r="F112" s="48">
        <f t="shared" si="18"/>
        <v>0</v>
      </c>
      <c r="G112" s="48">
        <f t="shared" si="19"/>
        <v>0</v>
      </c>
      <c r="H112" s="48">
        <f t="shared" si="20"/>
        <v>0</v>
      </c>
      <c r="I112" s="48">
        <f t="shared" si="21"/>
        <v>0</v>
      </c>
      <c r="J112" s="48">
        <f t="shared" si="22"/>
        <v>1.0179936806368313</v>
      </c>
      <c r="K112" s="48">
        <f t="shared" si="23"/>
        <v>10.333761710227687</v>
      </c>
      <c r="L112" s="48">
        <f t="shared" si="24"/>
        <v>3.3257416093146146</v>
      </c>
      <c r="M112" s="48">
        <f t="shared" si="25"/>
        <v>1.6529174425125792</v>
      </c>
      <c r="N112" s="48">
        <f t="shared" si="26"/>
        <v>0.60886977532698427</v>
      </c>
      <c r="O112" s="49"/>
      <c r="P112" s="49"/>
      <c r="Q112" s="45">
        <f t="shared" si="17"/>
        <v>16.939284218018695</v>
      </c>
      <c r="R112" s="2"/>
      <c r="S112" s="2"/>
      <c r="T112" s="2"/>
      <c r="U112" s="2"/>
      <c r="V112" s="2"/>
      <c r="W112" s="2"/>
      <c r="X112" s="2"/>
      <c r="Y112" s="2"/>
    </row>
    <row r="113" spans="1:25" ht="13.2" x14ac:dyDescent="0.25">
      <c r="A113" s="83"/>
      <c r="B113" s="46">
        <v>40</v>
      </c>
      <c r="C113" s="47">
        <f t="shared" si="14"/>
        <v>2.0203773557908971</v>
      </c>
      <c r="D113" s="48">
        <f t="shared" si="15"/>
        <v>0.56695729188915234</v>
      </c>
      <c r="E113" s="48">
        <f t="shared" si="16"/>
        <v>0</v>
      </c>
      <c r="F113" s="48">
        <f t="shared" si="18"/>
        <v>0</v>
      </c>
      <c r="G113" s="48">
        <f t="shared" si="19"/>
        <v>0</v>
      </c>
      <c r="H113" s="48">
        <f t="shared" si="20"/>
        <v>0</v>
      </c>
      <c r="I113" s="48">
        <f t="shared" si="21"/>
        <v>0</v>
      </c>
      <c r="J113" s="48">
        <f t="shared" si="22"/>
        <v>0.98530239106866613</v>
      </c>
      <c r="K113" s="48">
        <f t="shared" si="23"/>
        <v>11.022679157576199</v>
      </c>
      <c r="L113" s="48">
        <f t="shared" si="24"/>
        <v>3.6280817556159435</v>
      </c>
      <c r="M113" s="48">
        <f t="shared" si="25"/>
        <v>1.8890485057286619</v>
      </c>
      <c r="N113" s="48">
        <f t="shared" si="26"/>
        <v>0.81182636710264566</v>
      </c>
      <c r="O113" s="49"/>
      <c r="P113" s="49"/>
      <c r="Q113" s="45">
        <f t="shared" si="17"/>
        <v>18.336938177092119</v>
      </c>
      <c r="R113" s="2"/>
      <c r="S113" s="2"/>
      <c r="T113" s="2"/>
      <c r="U113" s="2"/>
      <c r="V113" s="2"/>
      <c r="W113" s="2"/>
      <c r="X113" s="2"/>
      <c r="Y113" s="2"/>
    </row>
    <row r="114" spans="1:25" ht="13.2" x14ac:dyDescent="0.25">
      <c r="A114" s="83"/>
      <c r="B114" s="46">
        <v>41</v>
      </c>
      <c r="C114" s="47">
        <f t="shared" si="14"/>
        <v>2.0708867896856695</v>
      </c>
      <c r="D114" s="48">
        <f t="shared" si="15"/>
        <v>0.51104213824510802</v>
      </c>
      <c r="E114" s="48">
        <f t="shared" si="16"/>
        <v>0</v>
      </c>
      <c r="F114" s="48">
        <f t="shared" si="18"/>
        <v>0</v>
      </c>
      <c r="G114" s="48">
        <f t="shared" si="19"/>
        <v>0</v>
      </c>
      <c r="H114" s="48">
        <f t="shared" si="20"/>
        <v>0</v>
      </c>
      <c r="I114" s="48">
        <f t="shared" si="21"/>
        <v>0</v>
      </c>
      <c r="J114" s="48">
        <f t="shared" si="22"/>
        <v>0.95261110150050132</v>
      </c>
      <c r="K114" s="48">
        <f t="shared" si="23"/>
        <v>11.711596604924713</v>
      </c>
      <c r="L114" s="48">
        <f t="shared" si="24"/>
        <v>3.9304219019172715</v>
      </c>
      <c r="M114" s="48">
        <f t="shared" si="25"/>
        <v>2.1251795689447444</v>
      </c>
      <c r="N114" s="48">
        <f t="shared" si="26"/>
        <v>1.0147829588783071</v>
      </c>
      <c r="O114" s="48">
        <f t="shared" ref="O114:O172" si="27">IF(C74&lt;=$D$62,O$73*D74,"")</f>
        <v>0.1818824513525901</v>
      </c>
      <c r="P114" s="49"/>
      <c r="Q114" s="45">
        <f t="shared" si="17"/>
        <v>19.916474587518127</v>
      </c>
      <c r="R114" s="2"/>
      <c r="S114" s="2"/>
      <c r="T114" s="2"/>
      <c r="U114" s="2"/>
      <c r="V114" s="2"/>
      <c r="W114" s="2"/>
      <c r="X114" s="2"/>
      <c r="Y114" s="2"/>
    </row>
    <row r="115" spans="1:25" ht="13.2" x14ac:dyDescent="0.25">
      <c r="A115" s="83"/>
      <c r="B115" s="46">
        <v>42</v>
      </c>
      <c r="C115" s="47">
        <f t="shared" si="14"/>
        <v>2.1213962235804416</v>
      </c>
      <c r="D115" s="48">
        <f t="shared" si="15"/>
        <v>0.45512698460106416</v>
      </c>
      <c r="E115" s="48">
        <f t="shared" si="16"/>
        <v>0</v>
      </c>
      <c r="F115" s="48">
        <f t="shared" si="18"/>
        <v>0</v>
      </c>
      <c r="G115" s="48">
        <f t="shared" si="19"/>
        <v>0</v>
      </c>
      <c r="H115" s="48">
        <f t="shared" si="20"/>
        <v>0</v>
      </c>
      <c r="I115" s="48">
        <f t="shared" si="21"/>
        <v>0</v>
      </c>
      <c r="J115" s="48">
        <f t="shared" si="22"/>
        <v>0.9199198119323363</v>
      </c>
      <c r="K115" s="48">
        <f t="shared" si="23"/>
        <v>12.400514052273225</v>
      </c>
      <c r="L115" s="48">
        <f t="shared" si="24"/>
        <v>4.2327620482185999</v>
      </c>
      <c r="M115" s="48">
        <f t="shared" si="25"/>
        <v>2.3613106321608273</v>
      </c>
      <c r="N115" s="48">
        <f t="shared" si="26"/>
        <v>1.2177395506539685</v>
      </c>
      <c r="O115" s="48">
        <f t="shared" si="27"/>
        <v>0.36376490270518019</v>
      </c>
      <c r="P115" s="49"/>
      <c r="Q115" s="45">
        <f t="shared" si="17"/>
        <v>21.496010997944136</v>
      </c>
      <c r="R115" s="2"/>
      <c r="S115" s="2"/>
      <c r="T115" s="2"/>
      <c r="U115" s="2"/>
      <c r="V115" s="2"/>
      <c r="W115" s="2"/>
      <c r="X115" s="2"/>
      <c r="Y115" s="2"/>
    </row>
    <row r="116" spans="1:25" ht="13.2" x14ac:dyDescent="0.25">
      <c r="A116" s="83"/>
      <c r="B116" s="46">
        <v>43</v>
      </c>
      <c r="C116" s="47">
        <f t="shared" si="14"/>
        <v>2.171905657475214</v>
      </c>
      <c r="D116" s="48">
        <f t="shared" si="15"/>
        <v>0.3992118309570194</v>
      </c>
      <c r="E116" s="48">
        <f t="shared" si="16"/>
        <v>0</v>
      </c>
      <c r="F116" s="48">
        <f t="shared" si="18"/>
        <v>0</v>
      </c>
      <c r="G116" s="48">
        <f t="shared" si="19"/>
        <v>0</v>
      </c>
      <c r="H116" s="48">
        <f t="shared" si="20"/>
        <v>0</v>
      </c>
      <c r="I116" s="48">
        <f t="shared" si="21"/>
        <v>0</v>
      </c>
      <c r="J116" s="48">
        <f t="shared" si="22"/>
        <v>0.88722852236417116</v>
      </c>
      <c r="K116" s="48">
        <f t="shared" si="23"/>
        <v>12.868994447182809</v>
      </c>
      <c r="L116" s="48">
        <f t="shared" si="24"/>
        <v>4.5351021945199284</v>
      </c>
      <c r="M116" s="48">
        <f t="shared" si="25"/>
        <v>2.5974416953769102</v>
      </c>
      <c r="N116" s="48">
        <f t="shared" si="26"/>
        <v>1.42069614242963</v>
      </c>
      <c r="O116" s="48">
        <f t="shared" si="27"/>
        <v>0.54564735405777032</v>
      </c>
      <c r="P116" s="49"/>
      <c r="Q116" s="45">
        <f t="shared" si="17"/>
        <v>22.85511035593122</v>
      </c>
      <c r="R116" s="2"/>
      <c r="S116" s="2"/>
      <c r="T116" s="2"/>
      <c r="U116" s="2"/>
      <c r="V116" s="2"/>
      <c r="W116" s="2"/>
      <c r="X116" s="2"/>
      <c r="Y116" s="2"/>
    </row>
    <row r="117" spans="1:25" ht="13.2" x14ac:dyDescent="0.25">
      <c r="A117" s="83"/>
      <c r="B117" s="46">
        <v>44</v>
      </c>
      <c r="C117" s="47">
        <f t="shared" si="14"/>
        <v>2.2224150913699865</v>
      </c>
      <c r="D117" s="48">
        <f t="shared" si="15"/>
        <v>0.34329667731297508</v>
      </c>
      <c r="E117" s="48">
        <f t="shared" si="16"/>
        <v>0</v>
      </c>
      <c r="F117" s="48">
        <f t="shared" si="18"/>
        <v>0</v>
      </c>
      <c r="G117" s="48">
        <f t="shared" si="19"/>
        <v>0</v>
      </c>
      <c r="H117" s="48">
        <f t="shared" si="20"/>
        <v>0</v>
      </c>
      <c r="I117" s="48">
        <f t="shared" si="21"/>
        <v>0</v>
      </c>
      <c r="J117" s="48">
        <f t="shared" si="22"/>
        <v>0.85453723279600613</v>
      </c>
      <c r="K117" s="48">
        <f t="shared" si="23"/>
        <v>12.45572663233667</v>
      </c>
      <c r="L117" s="48">
        <f t="shared" si="24"/>
        <v>4.8374423408212577</v>
      </c>
      <c r="M117" s="48">
        <f t="shared" si="25"/>
        <v>2.8335727585929931</v>
      </c>
      <c r="N117" s="48">
        <f t="shared" si="26"/>
        <v>1.6236527342052913</v>
      </c>
      <c r="O117" s="48">
        <f t="shared" si="27"/>
        <v>0.72752980541036039</v>
      </c>
      <c r="P117" s="49"/>
      <c r="Q117" s="45">
        <f t="shared" si="17"/>
        <v>23.332461504162577</v>
      </c>
      <c r="R117" s="2"/>
      <c r="S117" s="2"/>
      <c r="T117" s="2"/>
      <c r="U117" s="2"/>
      <c r="V117" s="2"/>
      <c r="W117" s="2"/>
      <c r="X117" s="2"/>
      <c r="Y117" s="2"/>
    </row>
    <row r="118" spans="1:25" ht="13.2" x14ac:dyDescent="0.25">
      <c r="A118" s="83"/>
      <c r="B118" s="46">
        <v>45</v>
      </c>
      <c r="C118" s="47">
        <f t="shared" si="14"/>
        <v>2.272924525264759</v>
      </c>
      <c r="D118" s="48">
        <f t="shared" si="15"/>
        <v>0.28738152366893033</v>
      </c>
      <c r="E118" s="48">
        <f t="shared" si="16"/>
        <v>0</v>
      </c>
      <c r="F118" s="48">
        <f t="shared" si="18"/>
        <v>0</v>
      </c>
      <c r="G118" s="48">
        <f t="shared" si="19"/>
        <v>0</v>
      </c>
      <c r="H118" s="48">
        <f t="shared" si="20"/>
        <v>0</v>
      </c>
      <c r="I118" s="48">
        <f t="shared" si="21"/>
        <v>0</v>
      </c>
      <c r="J118" s="48">
        <f t="shared" si="22"/>
        <v>0.8218459432278411</v>
      </c>
      <c r="K118" s="48">
        <f t="shared" si="23"/>
        <v>12.042458817490534</v>
      </c>
      <c r="L118" s="48">
        <f t="shared" si="24"/>
        <v>5.1397824871225861</v>
      </c>
      <c r="M118" s="48">
        <f t="shared" si="25"/>
        <v>3.0697038218090755</v>
      </c>
      <c r="N118" s="48">
        <f t="shared" si="26"/>
        <v>1.8266093259809526</v>
      </c>
      <c r="O118" s="48">
        <f t="shared" si="27"/>
        <v>0.90941225676295057</v>
      </c>
      <c r="P118" s="48">
        <f t="shared" ref="P118:P172" si="28">IF(C74&lt;=$D$62,P$73*D74,"")</f>
        <v>0.16686910399725405</v>
      </c>
      <c r="Q118" s="45">
        <f t="shared" si="17"/>
        <v>23.976681756391194</v>
      </c>
      <c r="R118" s="2"/>
      <c r="S118" s="2"/>
      <c r="T118" s="2"/>
      <c r="U118" s="2"/>
      <c r="V118" s="2"/>
      <c r="W118" s="2"/>
      <c r="X118" s="2"/>
      <c r="Y118" s="2"/>
    </row>
    <row r="119" spans="1:25" ht="13.2" x14ac:dyDescent="0.25">
      <c r="A119" s="83"/>
      <c r="B119" s="46">
        <v>46</v>
      </c>
      <c r="C119" s="47">
        <f t="shared" si="14"/>
        <v>2.3234339591595314</v>
      </c>
      <c r="D119" s="48">
        <f t="shared" si="15"/>
        <v>0.23146637002488601</v>
      </c>
      <c r="E119" s="48">
        <f t="shared" si="16"/>
        <v>0</v>
      </c>
      <c r="F119" s="48">
        <f t="shared" si="18"/>
        <v>0</v>
      </c>
      <c r="G119" s="48">
        <f t="shared" si="19"/>
        <v>0</v>
      </c>
      <c r="H119" s="48">
        <f t="shared" si="20"/>
        <v>0</v>
      </c>
      <c r="I119" s="48">
        <f t="shared" si="21"/>
        <v>0</v>
      </c>
      <c r="J119" s="48">
        <f t="shared" si="22"/>
        <v>0.78915465365967619</v>
      </c>
      <c r="K119" s="48">
        <f t="shared" si="23"/>
        <v>11.629191002644395</v>
      </c>
      <c r="L119" s="48">
        <f t="shared" si="24"/>
        <v>5.4421226334239146</v>
      </c>
      <c r="M119" s="48">
        <f t="shared" si="25"/>
        <v>3.3058348850251584</v>
      </c>
      <c r="N119" s="48">
        <f t="shared" si="26"/>
        <v>2.0295659177566141</v>
      </c>
      <c r="O119" s="48">
        <f t="shared" si="27"/>
        <v>1.0912947081155406</v>
      </c>
      <c r="P119" s="48">
        <f t="shared" si="28"/>
        <v>0.3337382079945081</v>
      </c>
      <c r="Q119" s="45">
        <f t="shared" si="17"/>
        <v>24.620902008619808</v>
      </c>
      <c r="R119" s="2"/>
      <c r="S119" s="2"/>
      <c r="T119" s="2"/>
      <c r="U119" s="2"/>
      <c r="V119" s="2"/>
      <c r="W119" s="2"/>
      <c r="X119" s="2"/>
      <c r="Y119" s="2"/>
    </row>
    <row r="120" spans="1:25" ht="13.2" x14ac:dyDescent="0.25">
      <c r="A120" s="83"/>
      <c r="B120" s="46">
        <v>47</v>
      </c>
      <c r="C120" s="47">
        <f t="shared" si="14"/>
        <v>2.3739433930543039</v>
      </c>
      <c r="D120" s="48">
        <f t="shared" si="15"/>
        <v>0.1755512163808417</v>
      </c>
      <c r="E120" s="48">
        <f t="shared" si="16"/>
        <v>0</v>
      </c>
      <c r="F120" s="48">
        <f t="shared" si="18"/>
        <v>0</v>
      </c>
      <c r="G120" s="48">
        <f t="shared" si="19"/>
        <v>0</v>
      </c>
      <c r="H120" s="48">
        <f t="shared" si="20"/>
        <v>0</v>
      </c>
      <c r="I120" s="48">
        <f t="shared" si="21"/>
        <v>0</v>
      </c>
      <c r="J120" s="48">
        <f t="shared" si="22"/>
        <v>0.75646336409151116</v>
      </c>
      <c r="K120" s="48">
        <f t="shared" si="23"/>
        <v>11.215923187798255</v>
      </c>
      <c r="L120" s="48">
        <f t="shared" si="24"/>
        <v>5.6477211876213875</v>
      </c>
      <c r="M120" s="48">
        <f t="shared" si="25"/>
        <v>3.5419659482412409</v>
      </c>
      <c r="N120" s="48">
        <f t="shared" si="26"/>
        <v>2.2325225095322758</v>
      </c>
      <c r="O120" s="48">
        <f t="shared" si="27"/>
        <v>1.2731771594681307</v>
      </c>
      <c r="P120" s="48">
        <f t="shared" si="28"/>
        <v>0.50060731199176212</v>
      </c>
      <c r="Q120" s="45">
        <f t="shared" si="17"/>
        <v>25.168380668744565</v>
      </c>
      <c r="R120" s="2"/>
      <c r="S120" s="2"/>
      <c r="T120" s="2"/>
      <c r="U120" s="2"/>
      <c r="V120" s="2"/>
      <c r="W120" s="2"/>
      <c r="X120" s="2"/>
      <c r="Y120" s="2"/>
    </row>
    <row r="121" spans="1:25" ht="13.2" x14ac:dyDescent="0.25">
      <c r="A121" s="83"/>
      <c r="B121" s="46">
        <v>48</v>
      </c>
      <c r="C121" s="47">
        <f t="shared" si="14"/>
        <v>2.4244528269490764</v>
      </c>
      <c r="D121" s="48">
        <f t="shared" si="15"/>
        <v>0.11963606273679694</v>
      </c>
      <c r="E121" s="48">
        <f t="shared" si="16"/>
        <v>0</v>
      </c>
      <c r="F121" s="48">
        <f t="shared" si="18"/>
        <v>0</v>
      </c>
      <c r="G121" s="48">
        <f t="shared" si="19"/>
        <v>0</v>
      </c>
      <c r="H121" s="48">
        <f t="shared" si="20"/>
        <v>0</v>
      </c>
      <c r="I121" s="48">
        <f t="shared" si="21"/>
        <v>0</v>
      </c>
      <c r="J121" s="48">
        <f t="shared" si="22"/>
        <v>0.72377207452334602</v>
      </c>
      <c r="K121" s="48">
        <f t="shared" si="23"/>
        <v>10.802655372952117</v>
      </c>
      <c r="L121" s="48">
        <f t="shared" si="24"/>
        <v>5.4663533734034333</v>
      </c>
      <c r="M121" s="48">
        <f t="shared" si="25"/>
        <v>3.7780970114573238</v>
      </c>
      <c r="N121" s="48">
        <f t="shared" si="26"/>
        <v>2.4354791013079371</v>
      </c>
      <c r="O121" s="48">
        <f t="shared" si="27"/>
        <v>1.4550596108207208</v>
      </c>
      <c r="P121" s="48">
        <f t="shared" si="28"/>
        <v>0.66747641598901619</v>
      </c>
      <c r="Q121" s="45">
        <f t="shared" si="17"/>
        <v>25.328892960453892</v>
      </c>
      <c r="R121" s="2"/>
      <c r="S121" s="2"/>
      <c r="T121" s="2"/>
      <c r="U121" s="2"/>
      <c r="V121" s="2"/>
      <c r="W121" s="2"/>
      <c r="X121" s="2"/>
      <c r="Y121" s="2"/>
    </row>
    <row r="122" spans="1:25" ht="13.2" x14ac:dyDescent="0.25">
      <c r="A122" s="83"/>
      <c r="B122" s="46">
        <v>49</v>
      </c>
      <c r="C122" s="47">
        <f t="shared" si="14"/>
        <v>2.4749622608438488</v>
      </c>
      <c r="D122" s="48">
        <f t="shared" si="15"/>
        <v>6.3720909092752631E-2</v>
      </c>
      <c r="E122" s="48">
        <f t="shared" si="16"/>
        <v>0</v>
      </c>
      <c r="F122" s="48">
        <f t="shared" si="18"/>
        <v>0</v>
      </c>
      <c r="G122" s="48">
        <f t="shared" si="19"/>
        <v>0</v>
      </c>
      <c r="H122" s="48">
        <f t="shared" si="20"/>
        <v>0</v>
      </c>
      <c r="I122" s="48">
        <f t="shared" si="21"/>
        <v>0</v>
      </c>
      <c r="J122" s="48">
        <f t="shared" si="22"/>
        <v>0.6910807849551811</v>
      </c>
      <c r="K122" s="48">
        <f t="shared" si="23"/>
        <v>10.389387558105978</v>
      </c>
      <c r="L122" s="48">
        <f t="shared" si="24"/>
        <v>5.2849855591854809</v>
      </c>
      <c r="M122" s="48">
        <f t="shared" si="25"/>
        <v>4.0142280746734063</v>
      </c>
      <c r="N122" s="48">
        <f t="shared" si="26"/>
        <v>2.6384356930835984</v>
      </c>
      <c r="O122" s="48">
        <f t="shared" si="27"/>
        <v>1.6369420621733108</v>
      </c>
      <c r="P122" s="48">
        <f t="shared" si="28"/>
        <v>0.83434551998627027</v>
      </c>
      <c r="Q122" s="45">
        <f t="shared" si="17"/>
        <v>25.489405252163227</v>
      </c>
      <c r="R122" s="2"/>
      <c r="S122" s="2"/>
      <c r="T122" s="2"/>
      <c r="U122" s="2"/>
      <c r="V122" s="2"/>
      <c r="W122" s="2"/>
      <c r="X122" s="2"/>
      <c r="Y122" s="2"/>
    </row>
    <row r="123" spans="1:25" ht="13.2" x14ac:dyDescent="0.25">
      <c r="A123" s="83"/>
      <c r="B123" s="46">
        <v>50</v>
      </c>
      <c r="C123" s="47">
        <f t="shared" si="14"/>
        <v>2.5254716947386213</v>
      </c>
      <c r="D123" s="48">
        <f t="shared" si="15"/>
        <v>7.8057554487083181E-3</v>
      </c>
      <c r="E123" s="48">
        <f t="shared" si="16"/>
        <v>0</v>
      </c>
      <c r="F123" s="48">
        <f t="shared" si="18"/>
        <v>0</v>
      </c>
      <c r="G123" s="48">
        <f t="shared" si="19"/>
        <v>0</v>
      </c>
      <c r="H123" s="48">
        <f t="shared" si="20"/>
        <v>0</v>
      </c>
      <c r="I123" s="48">
        <f t="shared" si="21"/>
        <v>0</v>
      </c>
      <c r="J123" s="48">
        <f t="shared" si="22"/>
        <v>0.65838949538701619</v>
      </c>
      <c r="K123" s="48">
        <f t="shared" si="23"/>
        <v>9.9761197432598419</v>
      </c>
      <c r="L123" s="48">
        <f t="shared" si="24"/>
        <v>5.1036177449675266</v>
      </c>
      <c r="M123" s="48">
        <f t="shared" si="25"/>
        <v>4.2503591378894887</v>
      </c>
      <c r="N123" s="48">
        <f t="shared" si="26"/>
        <v>2.8413922848592601</v>
      </c>
      <c r="O123" s="48">
        <f t="shared" si="27"/>
        <v>1.8188245135259011</v>
      </c>
      <c r="P123" s="48">
        <f t="shared" si="28"/>
        <v>1.0012146239835242</v>
      </c>
      <c r="Q123" s="45">
        <f t="shared" si="17"/>
        <v>25.649917543872562</v>
      </c>
      <c r="R123" s="2"/>
      <c r="S123" s="2"/>
      <c r="T123" s="2"/>
      <c r="U123" s="2"/>
      <c r="V123" s="2"/>
      <c r="W123" s="2"/>
      <c r="X123" s="2"/>
      <c r="Y123" s="2"/>
    </row>
    <row r="124" spans="1:25" ht="13.2" x14ac:dyDescent="0.25">
      <c r="A124" s="83"/>
      <c r="B124" s="46">
        <v>51</v>
      </c>
      <c r="C124" s="47">
        <f t="shared" si="14"/>
        <v>2.5759811286333933</v>
      </c>
      <c r="D124" s="48">
        <f t="shared" si="15"/>
        <v>0</v>
      </c>
      <c r="E124" s="48" t="str">
        <f t="shared" si="16"/>
        <v/>
      </c>
      <c r="F124" s="48">
        <f t="shared" si="18"/>
        <v>0</v>
      </c>
      <c r="G124" s="48">
        <f t="shared" si="19"/>
        <v>0</v>
      </c>
      <c r="H124" s="48">
        <f t="shared" si="20"/>
        <v>0</v>
      </c>
      <c r="I124" s="48">
        <f t="shared" si="21"/>
        <v>0</v>
      </c>
      <c r="J124" s="48">
        <f t="shared" si="22"/>
        <v>0.62569820581885105</v>
      </c>
      <c r="K124" s="48">
        <f t="shared" si="23"/>
        <v>9.5628519284137017</v>
      </c>
      <c r="L124" s="48">
        <f t="shared" si="24"/>
        <v>4.9222499307495733</v>
      </c>
      <c r="M124" s="48">
        <f t="shared" si="25"/>
        <v>4.4109339268887409</v>
      </c>
      <c r="N124" s="48">
        <f t="shared" si="26"/>
        <v>3.0443488766349209</v>
      </c>
      <c r="O124" s="48">
        <f t="shared" si="27"/>
        <v>2.000706964878491</v>
      </c>
      <c r="P124" s="48">
        <f t="shared" si="28"/>
        <v>1.1680837279807783</v>
      </c>
      <c r="Q124" s="45">
        <f t="shared" si="17"/>
        <v>25.734873561365056</v>
      </c>
      <c r="R124" s="2"/>
      <c r="S124" s="2"/>
      <c r="T124" s="2"/>
      <c r="U124" s="2"/>
      <c r="V124" s="2"/>
      <c r="W124" s="2"/>
      <c r="X124" s="2"/>
      <c r="Y124" s="2"/>
    </row>
    <row r="125" spans="1:25" ht="13.2" x14ac:dyDescent="0.25">
      <c r="A125" s="83"/>
      <c r="B125" s="46">
        <v>52</v>
      </c>
      <c r="C125" s="47">
        <f t="shared" si="14"/>
        <v>2.6264905625281658</v>
      </c>
      <c r="D125" s="48">
        <f t="shared" si="15"/>
        <v>0</v>
      </c>
      <c r="E125" s="48" t="str">
        <f t="shared" si="16"/>
        <v/>
      </c>
      <c r="F125" s="48">
        <f t="shared" si="18"/>
        <v>0</v>
      </c>
      <c r="G125" s="48">
        <f t="shared" si="19"/>
        <v>0</v>
      </c>
      <c r="H125" s="48">
        <f t="shared" si="20"/>
        <v>0</v>
      </c>
      <c r="I125" s="48">
        <f t="shared" si="21"/>
        <v>0</v>
      </c>
      <c r="J125" s="48">
        <f t="shared" si="22"/>
        <v>0.59300691625068602</v>
      </c>
      <c r="K125" s="48">
        <f t="shared" si="23"/>
        <v>9.1495841135675633</v>
      </c>
      <c r="L125" s="48">
        <f t="shared" si="24"/>
        <v>4.7408821165316191</v>
      </c>
      <c r="M125" s="48">
        <f t="shared" si="25"/>
        <v>4.2692836190206647</v>
      </c>
      <c r="N125" s="48">
        <f t="shared" si="26"/>
        <v>3.2473054684105827</v>
      </c>
      <c r="O125" s="48">
        <f t="shared" si="27"/>
        <v>2.1825894162310813</v>
      </c>
      <c r="P125" s="48">
        <f t="shared" si="28"/>
        <v>1.3349528319780324</v>
      </c>
      <c r="Q125" s="45">
        <f t="shared" si="17"/>
        <v>25.517604481990233</v>
      </c>
      <c r="R125" s="2"/>
      <c r="S125" s="2"/>
      <c r="T125" s="2"/>
      <c r="U125" s="2"/>
      <c r="V125" s="2"/>
      <c r="W125" s="2"/>
      <c r="X125" s="2"/>
      <c r="Y125" s="2"/>
    </row>
    <row r="126" spans="1:25" ht="13.2" x14ac:dyDescent="0.25">
      <c r="A126" s="83"/>
      <c r="B126" s="46">
        <v>53</v>
      </c>
      <c r="C126" s="47">
        <f t="shared" si="14"/>
        <v>2.6769999964229383</v>
      </c>
      <c r="D126" s="48">
        <f t="shared" si="15"/>
        <v>0</v>
      </c>
      <c r="E126" s="48" t="str">
        <f t="shared" si="16"/>
        <v/>
      </c>
      <c r="F126" s="48">
        <f t="shared" si="18"/>
        <v>0</v>
      </c>
      <c r="G126" s="48">
        <f t="shared" si="19"/>
        <v>0</v>
      </c>
      <c r="H126" s="48">
        <f t="shared" si="20"/>
        <v>0</v>
      </c>
      <c r="I126" s="48">
        <f t="shared" si="21"/>
        <v>0</v>
      </c>
      <c r="J126" s="48">
        <f t="shared" si="22"/>
        <v>0.560315626682521</v>
      </c>
      <c r="K126" s="48">
        <f t="shared" si="23"/>
        <v>8.7363162987214249</v>
      </c>
      <c r="L126" s="48">
        <f t="shared" si="24"/>
        <v>4.5595143023136657</v>
      </c>
      <c r="M126" s="48">
        <f t="shared" si="25"/>
        <v>4.1276333111525894</v>
      </c>
      <c r="N126" s="48">
        <f t="shared" si="26"/>
        <v>3.4502620601862444</v>
      </c>
      <c r="O126" s="48">
        <f t="shared" si="27"/>
        <v>2.3644718675836711</v>
      </c>
      <c r="P126" s="48">
        <f t="shared" si="28"/>
        <v>1.5018219359752862</v>
      </c>
      <c r="Q126" s="45">
        <f t="shared" si="17"/>
        <v>25.300335402615403</v>
      </c>
      <c r="R126" s="2"/>
      <c r="S126" s="2"/>
      <c r="T126" s="2"/>
      <c r="U126" s="2"/>
      <c r="V126" s="2"/>
      <c r="W126" s="2"/>
      <c r="X126" s="2"/>
      <c r="Y126" s="2"/>
    </row>
    <row r="127" spans="1:25" ht="13.2" x14ac:dyDescent="0.25">
      <c r="A127" s="83"/>
      <c r="B127" s="46">
        <v>54</v>
      </c>
      <c r="C127" s="47">
        <f t="shared" si="14"/>
        <v>2.7275094303177108</v>
      </c>
      <c r="D127" s="48">
        <f t="shared" si="15"/>
        <v>0</v>
      </c>
      <c r="E127" s="48" t="str">
        <f t="shared" si="16"/>
        <v/>
      </c>
      <c r="F127" s="48">
        <f t="shared" si="18"/>
        <v>0</v>
      </c>
      <c r="G127" s="48">
        <f t="shared" si="19"/>
        <v>0</v>
      </c>
      <c r="H127" s="48">
        <f t="shared" si="20"/>
        <v>0</v>
      </c>
      <c r="I127" s="48">
        <f t="shared" si="21"/>
        <v>0</v>
      </c>
      <c r="J127" s="48">
        <f t="shared" si="22"/>
        <v>0.52762433711435597</v>
      </c>
      <c r="K127" s="48">
        <f t="shared" si="23"/>
        <v>8.3230484838752883</v>
      </c>
      <c r="L127" s="48">
        <f t="shared" si="24"/>
        <v>4.3781464880957124</v>
      </c>
      <c r="M127" s="48">
        <f t="shared" si="25"/>
        <v>3.9859830032845127</v>
      </c>
      <c r="N127" s="48">
        <f t="shared" si="26"/>
        <v>3.6532186519619052</v>
      </c>
      <c r="O127" s="48">
        <f t="shared" si="27"/>
        <v>2.5463543189362614</v>
      </c>
      <c r="P127" s="48">
        <f t="shared" si="28"/>
        <v>1.6686910399725405</v>
      </c>
      <c r="Q127" s="45">
        <f t="shared" si="17"/>
        <v>25.083066323240576</v>
      </c>
      <c r="R127" s="2"/>
      <c r="S127" s="2"/>
      <c r="T127" s="2"/>
      <c r="U127" s="2"/>
      <c r="V127" s="2"/>
      <c r="W127" s="2"/>
      <c r="X127" s="2"/>
      <c r="Y127" s="2"/>
    </row>
    <row r="128" spans="1:25" ht="13.2" x14ac:dyDescent="0.25">
      <c r="A128" s="83"/>
      <c r="B128" s="46">
        <v>55</v>
      </c>
      <c r="C128" s="47">
        <f t="shared" si="14"/>
        <v>2.7780188642124832</v>
      </c>
      <c r="D128" s="48">
        <f t="shared" si="15"/>
        <v>0</v>
      </c>
      <c r="E128" s="48" t="str">
        <f t="shared" si="16"/>
        <v/>
      </c>
      <c r="F128" s="48" t="str">
        <f t="shared" si="18"/>
        <v/>
      </c>
      <c r="G128" s="48">
        <f t="shared" si="19"/>
        <v>0</v>
      </c>
      <c r="H128" s="48">
        <f t="shared" si="20"/>
        <v>0</v>
      </c>
      <c r="I128" s="48">
        <f t="shared" si="21"/>
        <v>0</v>
      </c>
      <c r="J128" s="48">
        <f t="shared" si="22"/>
        <v>0.494933047546191</v>
      </c>
      <c r="K128" s="48">
        <f t="shared" si="23"/>
        <v>7.909780669029149</v>
      </c>
      <c r="L128" s="48">
        <f t="shared" si="24"/>
        <v>4.1967786738777582</v>
      </c>
      <c r="M128" s="48">
        <f t="shared" si="25"/>
        <v>3.8443326954164365</v>
      </c>
      <c r="N128" s="48">
        <f t="shared" si="26"/>
        <v>3.7912340043535617</v>
      </c>
      <c r="O128" s="48">
        <f t="shared" si="27"/>
        <v>2.7282367702888513</v>
      </c>
      <c r="P128" s="48">
        <f t="shared" si="28"/>
        <v>1.8355601439697944</v>
      </c>
      <c r="Q128" s="45">
        <f t="shared" si="17"/>
        <v>24.800856004481744</v>
      </c>
      <c r="R128" s="2"/>
      <c r="S128" s="2"/>
      <c r="T128" s="2"/>
      <c r="U128" s="2"/>
      <c r="V128" s="2"/>
      <c r="W128" s="2"/>
      <c r="X128" s="2"/>
      <c r="Y128" s="2"/>
    </row>
    <row r="129" spans="1:25" ht="13.2" x14ac:dyDescent="0.25">
      <c r="A129" s="83"/>
      <c r="B129" s="46">
        <v>56</v>
      </c>
      <c r="C129" s="47">
        <f t="shared" si="14"/>
        <v>2.8285282981072557</v>
      </c>
      <c r="D129" s="48">
        <f t="shared" si="15"/>
        <v>0</v>
      </c>
      <c r="E129" s="48" t="str">
        <f t="shared" si="16"/>
        <v/>
      </c>
      <c r="F129" s="48" t="str">
        <f t="shared" si="18"/>
        <v/>
      </c>
      <c r="G129" s="48">
        <f t="shared" si="19"/>
        <v>0</v>
      </c>
      <c r="H129" s="48">
        <f t="shared" si="20"/>
        <v>0</v>
      </c>
      <c r="I129" s="48">
        <f t="shared" si="21"/>
        <v>0</v>
      </c>
      <c r="J129" s="48">
        <f t="shared" si="22"/>
        <v>0.46224175797802602</v>
      </c>
      <c r="K129" s="48">
        <f t="shared" si="23"/>
        <v>7.4965128541830097</v>
      </c>
      <c r="L129" s="48">
        <f t="shared" si="24"/>
        <v>4.0154108596598048</v>
      </c>
      <c r="M129" s="48">
        <f t="shared" si="25"/>
        <v>3.7026823875483603</v>
      </c>
      <c r="N129" s="48">
        <f t="shared" si="26"/>
        <v>3.6694843992091934</v>
      </c>
      <c r="O129" s="48">
        <f t="shared" si="27"/>
        <v>2.9101192216414415</v>
      </c>
      <c r="P129" s="48">
        <f t="shared" si="28"/>
        <v>2.0024292479670485</v>
      </c>
      <c r="Q129" s="45">
        <f t="shared" si="17"/>
        <v>24.258880728186881</v>
      </c>
      <c r="R129" s="2"/>
      <c r="S129" s="2"/>
      <c r="T129" s="2"/>
      <c r="U129" s="2"/>
      <c r="V129" s="2"/>
      <c r="W129" s="2"/>
      <c r="X129" s="2"/>
      <c r="Y129" s="2"/>
    </row>
    <row r="130" spans="1:25" ht="13.2" x14ac:dyDescent="0.25">
      <c r="A130" s="83"/>
      <c r="B130" s="46">
        <v>57</v>
      </c>
      <c r="C130" s="47">
        <f t="shared" si="14"/>
        <v>2.8790377320020282</v>
      </c>
      <c r="D130" s="48">
        <f t="shared" si="15"/>
        <v>0</v>
      </c>
      <c r="E130" s="48" t="str">
        <f t="shared" si="16"/>
        <v/>
      </c>
      <c r="F130" s="48" t="str">
        <f t="shared" si="18"/>
        <v/>
      </c>
      <c r="G130" s="48">
        <f t="shared" si="19"/>
        <v>0</v>
      </c>
      <c r="H130" s="48">
        <f t="shared" si="20"/>
        <v>0</v>
      </c>
      <c r="I130" s="48">
        <f t="shared" si="21"/>
        <v>0</v>
      </c>
      <c r="J130" s="48">
        <f t="shared" si="22"/>
        <v>0.42955046840986083</v>
      </c>
      <c r="K130" s="48">
        <f t="shared" si="23"/>
        <v>7.0832450393368722</v>
      </c>
      <c r="L130" s="48">
        <f t="shared" si="24"/>
        <v>3.8340430454418515</v>
      </c>
      <c r="M130" s="48">
        <f t="shared" si="25"/>
        <v>3.5610320796802846</v>
      </c>
      <c r="N130" s="48">
        <f t="shared" si="26"/>
        <v>3.5477347940648261</v>
      </c>
      <c r="O130" s="48">
        <f t="shared" si="27"/>
        <v>3.0920016729940318</v>
      </c>
      <c r="P130" s="48">
        <f t="shared" si="28"/>
        <v>2.1692983519643025</v>
      </c>
      <c r="Q130" s="45">
        <f t="shared" si="17"/>
        <v>23.716905451892025</v>
      </c>
      <c r="R130" s="2"/>
      <c r="S130" s="2"/>
      <c r="T130" s="2"/>
      <c r="U130" s="2"/>
      <c r="V130" s="2"/>
      <c r="W130" s="2"/>
      <c r="X130" s="2"/>
      <c r="Y130" s="2"/>
    </row>
    <row r="131" spans="1:25" ht="13.2" x14ac:dyDescent="0.25">
      <c r="A131" s="83"/>
      <c r="B131" s="46">
        <v>58</v>
      </c>
      <c r="C131" s="47">
        <f t="shared" si="14"/>
        <v>2.9295471658968006</v>
      </c>
      <c r="D131" s="48">
        <f t="shared" si="15"/>
        <v>0</v>
      </c>
      <c r="E131" s="48" t="str">
        <f t="shared" si="16"/>
        <v/>
      </c>
      <c r="F131" s="48" t="str">
        <f t="shared" si="18"/>
        <v/>
      </c>
      <c r="G131" s="48">
        <f t="shared" si="19"/>
        <v>0</v>
      </c>
      <c r="H131" s="48">
        <f t="shared" si="20"/>
        <v>0</v>
      </c>
      <c r="I131" s="48">
        <f t="shared" si="21"/>
        <v>0</v>
      </c>
      <c r="J131" s="48">
        <f t="shared" si="22"/>
        <v>0.39685917884169586</v>
      </c>
      <c r="K131" s="48">
        <f t="shared" si="23"/>
        <v>6.6699772244907329</v>
      </c>
      <c r="L131" s="48">
        <f t="shared" si="24"/>
        <v>3.6526752312238981</v>
      </c>
      <c r="M131" s="48">
        <f t="shared" si="25"/>
        <v>3.4193817718122084</v>
      </c>
      <c r="N131" s="48">
        <f t="shared" si="26"/>
        <v>3.4259851889204578</v>
      </c>
      <c r="O131" s="48">
        <f t="shared" si="27"/>
        <v>3.2738841243466217</v>
      </c>
      <c r="P131" s="48">
        <f t="shared" si="28"/>
        <v>2.3361674559615566</v>
      </c>
      <c r="Q131" s="45">
        <f t="shared" si="17"/>
        <v>23.174930175597172</v>
      </c>
      <c r="R131" s="2"/>
      <c r="S131" s="2"/>
      <c r="T131" s="2"/>
      <c r="U131" s="2"/>
      <c r="V131" s="2"/>
      <c r="W131" s="2"/>
      <c r="X131" s="2"/>
      <c r="Y131" s="2"/>
    </row>
    <row r="132" spans="1:25" ht="13.2" x14ac:dyDescent="0.25">
      <c r="A132" s="83"/>
      <c r="B132" s="46">
        <v>59</v>
      </c>
      <c r="C132" s="47">
        <f t="shared" si="14"/>
        <v>2.9800565997915731</v>
      </c>
      <c r="D132" s="48">
        <f t="shared" si="15"/>
        <v>0</v>
      </c>
      <c r="E132" s="48" t="str">
        <f t="shared" si="16"/>
        <v/>
      </c>
      <c r="F132" s="48" t="str">
        <f t="shared" si="18"/>
        <v/>
      </c>
      <c r="G132" s="48" t="str">
        <f t="shared" si="19"/>
        <v/>
      </c>
      <c r="H132" s="48">
        <f t="shared" si="20"/>
        <v>0</v>
      </c>
      <c r="I132" s="48">
        <f t="shared" si="21"/>
        <v>0</v>
      </c>
      <c r="J132" s="48">
        <f t="shared" si="22"/>
        <v>0.36416788927353094</v>
      </c>
      <c r="K132" s="48">
        <f t="shared" si="23"/>
        <v>6.2567094096445954</v>
      </c>
      <c r="L132" s="48">
        <f t="shared" si="24"/>
        <v>3.4713074170059444</v>
      </c>
      <c r="M132" s="48">
        <f t="shared" si="25"/>
        <v>3.2777314639441322</v>
      </c>
      <c r="N132" s="48">
        <f t="shared" si="26"/>
        <v>3.3042355837760895</v>
      </c>
      <c r="O132" s="48">
        <f t="shared" si="27"/>
        <v>3.3975685555723549</v>
      </c>
      <c r="P132" s="48">
        <f t="shared" si="28"/>
        <v>2.5030365599588102</v>
      </c>
      <c r="Q132" s="45">
        <f t="shared" si="17"/>
        <v>22.57475687917546</v>
      </c>
      <c r="R132" s="2"/>
      <c r="S132" s="2"/>
      <c r="T132" s="2"/>
      <c r="U132" s="2"/>
      <c r="V132" s="2"/>
      <c r="W132" s="2"/>
      <c r="X132" s="2"/>
      <c r="Y132" s="2"/>
    </row>
    <row r="133" spans="1:25" ht="13.2" x14ac:dyDescent="0.25">
      <c r="A133" s="83"/>
      <c r="B133" s="46">
        <v>60</v>
      </c>
      <c r="C133" s="47">
        <f t="shared" si="14"/>
        <v>3.0305660336863451</v>
      </c>
      <c r="D133" s="48">
        <f t="shared" si="15"/>
        <v>0</v>
      </c>
      <c r="E133" s="48" t="str">
        <f t="shared" si="16"/>
        <v/>
      </c>
      <c r="F133" s="48" t="str">
        <f t="shared" si="18"/>
        <v/>
      </c>
      <c r="G133" s="48" t="str">
        <f t="shared" si="19"/>
        <v/>
      </c>
      <c r="H133" s="48">
        <f t="shared" si="20"/>
        <v>0</v>
      </c>
      <c r="I133" s="48">
        <f t="shared" si="21"/>
        <v>0</v>
      </c>
      <c r="J133" s="48">
        <f t="shared" si="22"/>
        <v>0.33147659970536569</v>
      </c>
      <c r="K133" s="48">
        <f t="shared" si="23"/>
        <v>5.8434415947984579</v>
      </c>
      <c r="L133" s="48">
        <f t="shared" si="24"/>
        <v>3.2899396027879901</v>
      </c>
      <c r="M133" s="48">
        <f t="shared" si="25"/>
        <v>3.136081156076056</v>
      </c>
      <c r="N133" s="48">
        <f t="shared" si="26"/>
        <v>3.1824859786317212</v>
      </c>
      <c r="O133" s="48">
        <f t="shared" si="27"/>
        <v>3.2884609062906569</v>
      </c>
      <c r="P133" s="48">
        <f t="shared" si="28"/>
        <v>2.6699056639560648</v>
      </c>
      <c r="Q133" s="45">
        <f t="shared" si="17"/>
        <v>21.741791502246311</v>
      </c>
      <c r="R133" s="2"/>
      <c r="S133" s="2"/>
      <c r="T133" s="2"/>
      <c r="U133" s="2"/>
      <c r="V133" s="2"/>
      <c r="W133" s="2"/>
      <c r="X133" s="2"/>
      <c r="Y133" s="2"/>
    </row>
    <row r="134" spans="1:25" ht="13.2" x14ac:dyDescent="0.25">
      <c r="A134" s="83"/>
      <c r="B134" s="46">
        <v>61</v>
      </c>
      <c r="C134" s="47">
        <f t="shared" si="14"/>
        <v>3.0810754675811176</v>
      </c>
      <c r="D134" s="48">
        <f t="shared" si="15"/>
        <v>0</v>
      </c>
      <c r="E134" s="48" t="str">
        <f t="shared" si="16"/>
        <v/>
      </c>
      <c r="F134" s="48" t="str">
        <f t="shared" si="18"/>
        <v/>
      </c>
      <c r="G134" s="48" t="str">
        <f t="shared" si="19"/>
        <v/>
      </c>
      <c r="H134" s="48">
        <f t="shared" si="20"/>
        <v>0</v>
      </c>
      <c r="I134" s="48">
        <f t="shared" si="21"/>
        <v>0</v>
      </c>
      <c r="J134" s="48">
        <f t="shared" si="22"/>
        <v>0.29878531013720078</v>
      </c>
      <c r="K134" s="48">
        <f t="shared" si="23"/>
        <v>5.4301737799523169</v>
      </c>
      <c r="L134" s="48">
        <f t="shared" si="24"/>
        <v>3.1085717885700368</v>
      </c>
      <c r="M134" s="48">
        <f t="shared" si="25"/>
        <v>2.9944308482079802</v>
      </c>
      <c r="N134" s="48">
        <f t="shared" si="26"/>
        <v>3.0607363734873534</v>
      </c>
      <c r="O134" s="48">
        <f t="shared" si="27"/>
        <v>3.1793532570089598</v>
      </c>
      <c r="P134" s="48">
        <f t="shared" si="28"/>
        <v>2.8367747679533188</v>
      </c>
      <c r="Q134" s="45">
        <f t="shared" si="17"/>
        <v>20.908826125317166</v>
      </c>
      <c r="R134" s="2"/>
      <c r="S134" s="2"/>
      <c r="T134" s="2"/>
      <c r="U134" s="2"/>
      <c r="V134" s="2"/>
      <c r="W134" s="2"/>
      <c r="X134" s="2"/>
      <c r="Y134" s="2"/>
    </row>
    <row r="135" spans="1:25" ht="13.2" x14ac:dyDescent="0.25">
      <c r="A135" s="83"/>
      <c r="B135" s="46">
        <v>62</v>
      </c>
      <c r="C135" s="47">
        <f t="shared" si="14"/>
        <v>3.1315849014758901</v>
      </c>
      <c r="D135" s="48">
        <f t="shared" si="15"/>
        <v>0</v>
      </c>
      <c r="E135" s="48" t="str">
        <f t="shared" si="16"/>
        <v/>
      </c>
      <c r="F135" s="48" t="str">
        <f t="shared" si="18"/>
        <v/>
      </c>
      <c r="G135" s="48" t="str">
        <f t="shared" si="19"/>
        <v/>
      </c>
      <c r="H135" s="48">
        <f t="shared" si="20"/>
        <v>0</v>
      </c>
      <c r="I135" s="48">
        <f t="shared" si="21"/>
        <v>0</v>
      </c>
      <c r="J135" s="48">
        <f t="shared" si="22"/>
        <v>0.26609402056903608</v>
      </c>
      <c r="K135" s="48">
        <f t="shared" si="23"/>
        <v>5.0169059651061794</v>
      </c>
      <c r="L135" s="48">
        <f t="shared" si="24"/>
        <v>2.927203974352083</v>
      </c>
      <c r="M135" s="48">
        <f t="shared" si="25"/>
        <v>2.8527805403399045</v>
      </c>
      <c r="N135" s="48">
        <f t="shared" si="26"/>
        <v>2.9389867683429856</v>
      </c>
      <c r="O135" s="48">
        <f t="shared" si="27"/>
        <v>3.0702456077272617</v>
      </c>
      <c r="P135" s="48">
        <f t="shared" si="28"/>
        <v>3.0036438719505725</v>
      </c>
      <c r="Q135" s="45">
        <f t="shared" si="17"/>
        <v>20.075860748388024</v>
      </c>
      <c r="R135" s="2"/>
      <c r="S135" s="2"/>
      <c r="T135" s="2"/>
      <c r="U135" s="2"/>
      <c r="V135" s="2"/>
      <c r="W135" s="2"/>
      <c r="X135" s="2"/>
      <c r="Y135" s="2"/>
    </row>
    <row r="136" spans="1:25" ht="13.2" x14ac:dyDescent="0.25">
      <c r="A136" s="83"/>
      <c r="B136" s="46">
        <v>63</v>
      </c>
      <c r="C136" s="47">
        <f t="shared" si="14"/>
        <v>3.1820943353706626</v>
      </c>
      <c r="D136" s="48">
        <f t="shared" si="15"/>
        <v>0</v>
      </c>
      <c r="E136" s="48" t="str">
        <f t="shared" si="16"/>
        <v/>
      </c>
      <c r="F136" s="48" t="str">
        <f t="shared" si="18"/>
        <v/>
      </c>
      <c r="G136" s="48" t="str">
        <f t="shared" si="19"/>
        <v/>
      </c>
      <c r="H136" s="48" t="str">
        <f t="shared" si="20"/>
        <v/>
      </c>
      <c r="I136" s="48">
        <f t="shared" si="21"/>
        <v>0</v>
      </c>
      <c r="J136" s="48">
        <f t="shared" si="22"/>
        <v>0.23340273100087086</v>
      </c>
      <c r="K136" s="48">
        <f t="shared" si="23"/>
        <v>4.6036381502600419</v>
      </c>
      <c r="L136" s="48">
        <f t="shared" si="24"/>
        <v>2.7458361601341297</v>
      </c>
      <c r="M136" s="48">
        <f t="shared" si="25"/>
        <v>2.7111302324718278</v>
      </c>
      <c r="N136" s="48">
        <f t="shared" si="26"/>
        <v>2.8172371631986177</v>
      </c>
      <c r="O136" s="48">
        <f t="shared" si="27"/>
        <v>2.9611379584455637</v>
      </c>
      <c r="P136" s="48">
        <f t="shared" si="28"/>
        <v>3.1171188667263903</v>
      </c>
      <c r="Q136" s="45">
        <f t="shared" si="17"/>
        <v>19.189501262237442</v>
      </c>
      <c r="R136" s="2"/>
      <c r="S136" s="2"/>
      <c r="T136" s="2"/>
      <c r="U136" s="2"/>
      <c r="V136" s="2"/>
      <c r="W136" s="2"/>
      <c r="X136" s="2"/>
      <c r="Y136" s="2"/>
    </row>
    <row r="137" spans="1:25" ht="13.2" x14ac:dyDescent="0.25">
      <c r="A137" s="83"/>
      <c r="B137" s="46">
        <v>64</v>
      </c>
      <c r="C137" s="47">
        <f t="shared" si="14"/>
        <v>3.232603769265435</v>
      </c>
      <c r="D137" s="48">
        <f t="shared" si="15"/>
        <v>0</v>
      </c>
      <c r="E137" s="48" t="str">
        <f t="shared" si="16"/>
        <v/>
      </c>
      <c r="F137" s="48" t="str">
        <f t="shared" si="18"/>
        <v/>
      </c>
      <c r="G137" s="48" t="str">
        <f t="shared" si="19"/>
        <v/>
      </c>
      <c r="H137" s="48" t="str">
        <f t="shared" si="20"/>
        <v/>
      </c>
      <c r="I137" s="48">
        <f t="shared" si="21"/>
        <v>0</v>
      </c>
      <c r="J137" s="48">
        <f t="shared" si="22"/>
        <v>0.20071144143270589</v>
      </c>
      <c r="K137" s="48">
        <f t="shared" si="23"/>
        <v>4.1903703354139008</v>
      </c>
      <c r="L137" s="48">
        <f t="shared" si="24"/>
        <v>2.5644683459161763</v>
      </c>
      <c r="M137" s="48">
        <f t="shared" si="25"/>
        <v>2.5694799246037516</v>
      </c>
      <c r="N137" s="48">
        <f t="shared" si="26"/>
        <v>2.6954875580542494</v>
      </c>
      <c r="O137" s="48">
        <f t="shared" si="27"/>
        <v>2.8520303091638657</v>
      </c>
      <c r="P137" s="48">
        <f t="shared" si="28"/>
        <v>3.0170174246164594</v>
      </c>
      <c r="Q137" s="45">
        <f t="shared" si="17"/>
        <v>18.089565339201108</v>
      </c>
      <c r="R137" s="2"/>
      <c r="S137" s="2"/>
      <c r="T137" s="2"/>
      <c r="U137" s="2"/>
      <c r="V137" s="2"/>
      <c r="W137" s="2"/>
      <c r="X137" s="2"/>
      <c r="Y137" s="2"/>
    </row>
    <row r="138" spans="1:25" ht="13.2" x14ac:dyDescent="0.25">
      <c r="A138" s="83"/>
      <c r="B138" s="46">
        <v>65</v>
      </c>
      <c r="C138" s="47">
        <f t="shared" si="14"/>
        <v>3.2831132031602075</v>
      </c>
      <c r="D138" s="48">
        <f t="shared" si="15"/>
        <v>0</v>
      </c>
      <c r="E138" s="48" t="str">
        <f t="shared" si="16"/>
        <v/>
      </c>
      <c r="F138" s="48" t="str">
        <f t="shared" si="18"/>
        <v/>
      </c>
      <c r="G138" s="48" t="str">
        <f t="shared" si="19"/>
        <v/>
      </c>
      <c r="H138" s="48" t="str">
        <f t="shared" si="20"/>
        <v/>
      </c>
      <c r="I138" s="48">
        <f t="shared" si="21"/>
        <v>0</v>
      </c>
      <c r="J138" s="48">
        <f t="shared" si="22"/>
        <v>0.1680201518645407</v>
      </c>
      <c r="K138" s="48">
        <f t="shared" si="23"/>
        <v>3.7771025205677633</v>
      </c>
      <c r="L138" s="48">
        <f t="shared" si="24"/>
        <v>2.3831005316982217</v>
      </c>
      <c r="M138" s="48">
        <f t="shared" si="25"/>
        <v>2.4278296167356759</v>
      </c>
      <c r="N138" s="48">
        <f t="shared" si="26"/>
        <v>2.5737379529098816</v>
      </c>
      <c r="O138" s="48">
        <f t="shared" si="27"/>
        <v>2.7429226598821685</v>
      </c>
      <c r="P138" s="48">
        <f t="shared" si="28"/>
        <v>2.9169159825065298</v>
      </c>
      <c r="Q138" s="45">
        <f t="shared" si="17"/>
        <v>16.989629416164782</v>
      </c>
      <c r="R138" s="2"/>
      <c r="S138" s="2"/>
      <c r="T138" s="2"/>
      <c r="U138" s="2"/>
      <c r="V138" s="2"/>
      <c r="W138" s="2"/>
      <c r="X138" s="2"/>
      <c r="Y138" s="2"/>
    </row>
    <row r="139" spans="1:25" ht="13.2" x14ac:dyDescent="0.25">
      <c r="A139" s="83"/>
      <c r="B139" s="46">
        <v>66</v>
      </c>
      <c r="C139" s="47">
        <f t="shared" si="14"/>
        <v>3.33362263705498</v>
      </c>
      <c r="D139" s="48">
        <f t="shared" si="15"/>
        <v>0</v>
      </c>
      <c r="E139" s="48" t="str">
        <f t="shared" si="16"/>
        <v/>
      </c>
      <c r="F139" s="48" t="str">
        <f t="shared" si="18"/>
        <v/>
      </c>
      <c r="G139" s="48" t="str">
        <f t="shared" si="19"/>
        <v/>
      </c>
      <c r="H139" s="48" t="str">
        <f t="shared" si="20"/>
        <v/>
      </c>
      <c r="I139" s="48">
        <f t="shared" si="21"/>
        <v>0</v>
      </c>
      <c r="J139" s="48">
        <f t="shared" si="22"/>
        <v>0.13532886229637575</v>
      </c>
      <c r="K139" s="48">
        <f t="shared" si="23"/>
        <v>3.3638347057216289</v>
      </c>
      <c r="L139" s="48">
        <f t="shared" si="24"/>
        <v>2.2017327174802688</v>
      </c>
      <c r="M139" s="48">
        <f t="shared" si="25"/>
        <v>2.2861793088675997</v>
      </c>
      <c r="N139" s="48">
        <f t="shared" si="26"/>
        <v>2.4519883477655138</v>
      </c>
      <c r="O139" s="48">
        <f t="shared" si="27"/>
        <v>2.633815010600471</v>
      </c>
      <c r="P139" s="48">
        <f t="shared" si="28"/>
        <v>2.816814540396599</v>
      </c>
      <c r="Q139" s="45">
        <f t="shared" si="17"/>
        <v>15.889693493128458</v>
      </c>
      <c r="R139" s="2"/>
      <c r="S139" s="2"/>
      <c r="T139" s="2"/>
      <c r="U139" s="2"/>
      <c r="V139" s="2"/>
      <c r="W139" s="2"/>
      <c r="X139" s="2"/>
      <c r="Y139" s="2"/>
    </row>
    <row r="140" spans="1:25" ht="13.2" x14ac:dyDescent="0.25">
      <c r="A140" s="83"/>
      <c r="B140" s="46">
        <v>67</v>
      </c>
      <c r="C140" s="47">
        <f t="shared" si="14"/>
        <v>3.3841320709497524</v>
      </c>
      <c r="D140" s="48">
        <f t="shared" si="15"/>
        <v>0</v>
      </c>
      <c r="E140" s="48" t="str">
        <f t="shared" si="16"/>
        <v/>
      </c>
      <c r="F140" s="48" t="str">
        <f t="shared" si="18"/>
        <v/>
      </c>
      <c r="G140" s="48" t="str">
        <f t="shared" si="19"/>
        <v/>
      </c>
      <c r="H140" s="48" t="str">
        <f t="shared" si="20"/>
        <v/>
      </c>
      <c r="I140" s="48" t="str">
        <f t="shared" si="21"/>
        <v/>
      </c>
      <c r="J140" s="48">
        <f t="shared" si="22"/>
        <v>0.10263757272821078</v>
      </c>
      <c r="K140" s="48">
        <f t="shared" si="23"/>
        <v>2.9505668908754883</v>
      </c>
      <c r="L140" s="48">
        <f t="shared" si="24"/>
        <v>2.0203649032623154</v>
      </c>
      <c r="M140" s="48">
        <f t="shared" si="25"/>
        <v>2.1445290009995239</v>
      </c>
      <c r="N140" s="48">
        <f t="shared" si="26"/>
        <v>2.3302387426211455</v>
      </c>
      <c r="O140" s="48">
        <f t="shared" si="27"/>
        <v>2.5247073613187729</v>
      </c>
      <c r="P140" s="48">
        <f t="shared" si="28"/>
        <v>2.7167130982866685</v>
      </c>
      <c r="Q140" s="45">
        <f t="shared" si="17"/>
        <v>14.789757570092126</v>
      </c>
      <c r="R140" s="2"/>
      <c r="S140" s="2"/>
      <c r="T140" s="2"/>
      <c r="U140" s="2"/>
      <c r="V140" s="2"/>
      <c r="W140" s="2"/>
      <c r="X140" s="2"/>
      <c r="Y140" s="2"/>
    </row>
    <row r="141" spans="1:25" ht="13.2" x14ac:dyDescent="0.25">
      <c r="A141" s="83"/>
      <c r="B141" s="46">
        <v>68</v>
      </c>
      <c r="C141" s="47">
        <f t="shared" si="14"/>
        <v>3.4346415048445249</v>
      </c>
      <c r="D141" s="48">
        <f t="shared" si="15"/>
        <v>0</v>
      </c>
      <c r="E141" s="48" t="str">
        <f t="shared" si="16"/>
        <v/>
      </c>
      <c r="F141" s="48" t="str">
        <f t="shared" si="18"/>
        <v/>
      </c>
      <c r="G141" s="48" t="str">
        <f t="shared" si="19"/>
        <v/>
      </c>
      <c r="H141" s="48" t="str">
        <f t="shared" si="20"/>
        <v/>
      </c>
      <c r="I141" s="48" t="str">
        <f t="shared" si="21"/>
        <v/>
      </c>
      <c r="J141" s="48">
        <f t="shared" si="22"/>
        <v>6.9946283160045572E-2</v>
      </c>
      <c r="K141" s="48">
        <f t="shared" si="23"/>
        <v>2.5372990760293508</v>
      </c>
      <c r="L141" s="48">
        <f t="shared" si="24"/>
        <v>1.8389970890443608</v>
      </c>
      <c r="M141" s="48">
        <f t="shared" si="25"/>
        <v>2.0028786931314482</v>
      </c>
      <c r="N141" s="48">
        <f t="shared" si="26"/>
        <v>2.2084891374767772</v>
      </c>
      <c r="O141" s="48">
        <f t="shared" si="27"/>
        <v>2.4155997120370749</v>
      </c>
      <c r="P141" s="48">
        <f t="shared" si="28"/>
        <v>2.6166116561767376</v>
      </c>
      <c r="Q141" s="45">
        <f t="shared" si="17"/>
        <v>13.689821647055794</v>
      </c>
      <c r="R141" s="2"/>
      <c r="S141" s="2"/>
      <c r="T141" s="2"/>
      <c r="U141" s="2"/>
      <c r="V141" s="2"/>
      <c r="W141" s="2"/>
      <c r="X141" s="2"/>
      <c r="Y141" s="2"/>
    </row>
    <row r="142" spans="1:25" ht="13.2" x14ac:dyDescent="0.25">
      <c r="A142" s="83"/>
      <c r="B142" s="46">
        <v>69</v>
      </c>
      <c r="C142" s="47">
        <f t="shared" si="14"/>
        <v>3.4851509387392969</v>
      </c>
      <c r="D142" s="48">
        <f t="shared" si="15"/>
        <v>0</v>
      </c>
      <c r="E142" s="48" t="str">
        <f t="shared" si="16"/>
        <v/>
      </c>
      <c r="F142" s="48" t="str">
        <f t="shared" si="18"/>
        <v/>
      </c>
      <c r="G142" s="48" t="str">
        <f t="shared" si="19"/>
        <v/>
      </c>
      <c r="H142" s="48" t="str">
        <f t="shared" si="20"/>
        <v/>
      </c>
      <c r="I142" s="48" t="str">
        <f t="shared" si="21"/>
        <v/>
      </c>
      <c r="J142" s="48">
        <f t="shared" si="22"/>
        <v>3.7254993591880621E-2</v>
      </c>
      <c r="K142" s="48">
        <f t="shared" si="23"/>
        <v>2.1240312611832097</v>
      </c>
      <c r="L142" s="48">
        <f t="shared" si="24"/>
        <v>1.6576292748264074</v>
      </c>
      <c r="M142" s="48">
        <f t="shared" si="25"/>
        <v>1.8612283852633711</v>
      </c>
      <c r="N142" s="48">
        <f t="shared" si="26"/>
        <v>2.0867395323324094</v>
      </c>
      <c r="O142" s="48">
        <f t="shared" si="27"/>
        <v>2.3064920627553773</v>
      </c>
      <c r="P142" s="48">
        <f t="shared" si="28"/>
        <v>2.5165102140668076</v>
      </c>
      <c r="Q142" s="45">
        <f t="shared" si="17"/>
        <v>12.589885724019462</v>
      </c>
      <c r="R142" s="2"/>
      <c r="S142" s="2"/>
      <c r="T142" s="2"/>
      <c r="U142" s="2"/>
      <c r="V142" s="2"/>
      <c r="W142" s="2"/>
      <c r="X142" s="2"/>
      <c r="Y142" s="2"/>
    </row>
    <row r="143" spans="1:25" ht="13.2" x14ac:dyDescent="0.25">
      <c r="A143" s="83"/>
      <c r="B143" s="46">
        <v>70</v>
      </c>
      <c r="C143" s="47">
        <f t="shared" si="14"/>
        <v>3.5356603726340694</v>
      </c>
      <c r="D143" s="48">
        <f t="shared" si="15"/>
        <v>0</v>
      </c>
      <c r="E143" s="48" t="str">
        <f t="shared" si="16"/>
        <v/>
      </c>
      <c r="F143" s="48" t="str">
        <f t="shared" si="18"/>
        <v/>
      </c>
      <c r="G143" s="48" t="str">
        <f t="shared" si="19"/>
        <v/>
      </c>
      <c r="H143" s="48" t="str">
        <f t="shared" si="20"/>
        <v/>
      </c>
      <c r="I143" s="48" t="str">
        <f t="shared" si="21"/>
        <v/>
      </c>
      <c r="J143" s="48">
        <f t="shared" si="22"/>
        <v>4.5637040237156709E-3</v>
      </c>
      <c r="K143" s="48">
        <f t="shared" si="23"/>
        <v>1.7107634463370722</v>
      </c>
      <c r="L143" s="48">
        <f t="shared" si="24"/>
        <v>1.4762614606084556</v>
      </c>
      <c r="M143" s="48">
        <f t="shared" si="25"/>
        <v>1.7195780773952953</v>
      </c>
      <c r="N143" s="48">
        <f t="shared" si="26"/>
        <v>1.9649899271880413</v>
      </c>
      <c r="O143" s="48">
        <f t="shared" si="27"/>
        <v>2.1973844134736797</v>
      </c>
      <c r="P143" s="48">
        <f t="shared" si="28"/>
        <v>2.4164087719568772</v>
      </c>
      <c r="Q143" s="45">
        <f t="shared" si="17"/>
        <v>11.489949800983137</v>
      </c>
      <c r="R143" s="2"/>
      <c r="S143" s="2"/>
      <c r="T143" s="2"/>
      <c r="U143" s="2"/>
      <c r="V143" s="2"/>
      <c r="W143" s="2"/>
      <c r="X143" s="2"/>
      <c r="Y143" s="2"/>
    </row>
    <row r="144" spans="1:25" ht="13.2" x14ac:dyDescent="0.25">
      <c r="A144" s="83"/>
      <c r="B144" s="46">
        <v>71</v>
      </c>
      <c r="C144" s="47">
        <f t="shared" si="14"/>
        <v>3.5861698065288419</v>
      </c>
      <c r="D144" s="48">
        <f t="shared" si="15"/>
        <v>0</v>
      </c>
      <c r="E144" s="48" t="str">
        <f t="shared" si="16"/>
        <v/>
      </c>
      <c r="F144" s="48" t="str">
        <f t="shared" si="18"/>
        <v/>
      </c>
      <c r="G144" s="48" t="str">
        <f t="shared" si="19"/>
        <v/>
      </c>
      <c r="H144" s="48" t="str">
        <f t="shared" si="20"/>
        <v/>
      </c>
      <c r="I144" s="48" t="str">
        <f t="shared" si="21"/>
        <v/>
      </c>
      <c r="J144" s="48" t="str">
        <f t="shared" si="22"/>
        <v/>
      </c>
      <c r="K144" s="48">
        <f t="shared" si="23"/>
        <v>1.2974956314909347</v>
      </c>
      <c r="L144" s="48">
        <f t="shared" si="24"/>
        <v>1.294893646390501</v>
      </c>
      <c r="M144" s="48">
        <f t="shared" si="25"/>
        <v>1.5779277695272196</v>
      </c>
      <c r="N144" s="48">
        <f t="shared" si="26"/>
        <v>1.8432403220436735</v>
      </c>
      <c r="O144" s="48">
        <f t="shared" si="27"/>
        <v>2.0882767641919817</v>
      </c>
      <c r="P144" s="48">
        <f t="shared" si="28"/>
        <v>2.3163073298469468</v>
      </c>
      <c r="Q144" s="45">
        <f t="shared" si="17"/>
        <v>10.418141463491256</v>
      </c>
      <c r="R144" s="2"/>
      <c r="S144" s="2"/>
      <c r="T144" s="2"/>
      <c r="U144" s="2"/>
      <c r="V144" s="2"/>
      <c r="W144" s="2"/>
      <c r="X144" s="2"/>
      <c r="Y144" s="2"/>
    </row>
    <row r="145" spans="1:25" ht="13.2" x14ac:dyDescent="0.25">
      <c r="A145" s="83"/>
      <c r="B145" s="46">
        <v>72</v>
      </c>
      <c r="C145" s="47">
        <f t="shared" si="14"/>
        <v>3.6366792404236143</v>
      </c>
      <c r="D145" s="48">
        <f t="shared" si="15"/>
        <v>0</v>
      </c>
      <c r="E145" s="48" t="str">
        <f t="shared" si="16"/>
        <v/>
      </c>
      <c r="F145" s="48" t="str">
        <f t="shared" si="18"/>
        <v/>
      </c>
      <c r="G145" s="48" t="str">
        <f t="shared" si="19"/>
        <v/>
      </c>
      <c r="H145" s="48" t="str">
        <f t="shared" si="20"/>
        <v/>
      </c>
      <c r="I145" s="48" t="str">
        <f t="shared" si="21"/>
        <v/>
      </c>
      <c r="J145" s="48" t="str">
        <f t="shared" si="22"/>
        <v/>
      </c>
      <c r="K145" s="48">
        <f t="shared" si="23"/>
        <v>0.88422781664479388</v>
      </c>
      <c r="L145" s="48">
        <f t="shared" si="24"/>
        <v>1.1135258321725476</v>
      </c>
      <c r="M145" s="48">
        <f t="shared" si="25"/>
        <v>1.4362774616591427</v>
      </c>
      <c r="N145" s="48">
        <f t="shared" si="26"/>
        <v>1.7214907168993057</v>
      </c>
      <c r="O145" s="48">
        <f t="shared" si="27"/>
        <v>1.9791691149102839</v>
      </c>
      <c r="P145" s="48">
        <f t="shared" si="28"/>
        <v>2.2162058877370159</v>
      </c>
      <c r="Q145" s="45">
        <f t="shared" si="17"/>
        <v>9.350896830023089</v>
      </c>
      <c r="R145" s="2"/>
      <c r="S145" s="2"/>
      <c r="T145" s="2"/>
      <c r="U145" s="2"/>
      <c r="V145" s="2"/>
      <c r="W145" s="2"/>
      <c r="X145" s="2"/>
      <c r="Y145" s="2"/>
    </row>
    <row r="146" spans="1:25" ht="13.2" x14ac:dyDescent="0.25">
      <c r="A146" s="83"/>
      <c r="B146" s="46">
        <v>73</v>
      </c>
      <c r="C146" s="47">
        <f t="shared" si="14"/>
        <v>3.6871886743183868</v>
      </c>
      <c r="D146" s="48">
        <f t="shared" si="15"/>
        <v>0</v>
      </c>
      <c r="E146" s="48" t="str">
        <f t="shared" si="16"/>
        <v/>
      </c>
      <c r="F146" s="48" t="str">
        <f t="shared" si="18"/>
        <v/>
      </c>
      <c r="G146" s="48" t="str">
        <f t="shared" si="19"/>
        <v/>
      </c>
      <c r="H146" s="48" t="str">
        <f t="shared" si="20"/>
        <v/>
      </c>
      <c r="I146" s="48" t="str">
        <f t="shared" si="21"/>
        <v/>
      </c>
      <c r="J146" s="48" t="str">
        <f t="shared" si="22"/>
        <v/>
      </c>
      <c r="K146" s="48">
        <f t="shared" si="23"/>
        <v>0.47096000179865638</v>
      </c>
      <c r="L146" s="48">
        <f t="shared" si="24"/>
        <v>0.93215801795459308</v>
      </c>
      <c r="M146" s="48">
        <f t="shared" si="25"/>
        <v>1.294627153791067</v>
      </c>
      <c r="N146" s="48">
        <f t="shared" si="26"/>
        <v>1.5997411117549369</v>
      </c>
      <c r="O146" s="48">
        <f t="shared" si="27"/>
        <v>1.8700614656285863</v>
      </c>
      <c r="P146" s="48">
        <f t="shared" si="28"/>
        <v>2.1161044456270854</v>
      </c>
      <c r="Q146" s="45">
        <f t="shared" si="17"/>
        <v>8.2836521965549252</v>
      </c>
      <c r="R146" s="2"/>
      <c r="S146" s="2"/>
      <c r="T146" s="2"/>
      <c r="U146" s="2"/>
      <c r="V146" s="2"/>
      <c r="W146" s="2"/>
      <c r="X146" s="2"/>
      <c r="Y146" s="2"/>
    </row>
    <row r="147" spans="1:25" ht="13.2" x14ac:dyDescent="0.25">
      <c r="A147" s="83"/>
      <c r="B147" s="46">
        <v>74</v>
      </c>
      <c r="C147" s="47">
        <f t="shared" si="14"/>
        <v>3.7376981082131593</v>
      </c>
      <c r="D147" s="48">
        <f t="shared" si="15"/>
        <v>0</v>
      </c>
      <c r="E147" s="48" t="str">
        <f t="shared" si="16"/>
        <v/>
      </c>
      <c r="F147" s="48" t="str">
        <f t="shared" si="18"/>
        <v/>
      </c>
      <c r="G147" s="48" t="str">
        <f t="shared" si="19"/>
        <v/>
      </c>
      <c r="H147" s="48" t="str">
        <f t="shared" si="20"/>
        <v/>
      </c>
      <c r="I147" s="48" t="str">
        <f t="shared" si="21"/>
        <v/>
      </c>
      <c r="J147" s="48" t="str">
        <f t="shared" si="22"/>
        <v/>
      </c>
      <c r="K147" s="48">
        <f t="shared" si="23"/>
        <v>5.769218695251882E-2</v>
      </c>
      <c r="L147" s="48">
        <f t="shared" si="24"/>
        <v>0.75079020373663985</v>
      </c>
      <c r="M147" s="48">
        <f t="shared" si="25"/>
        <v>1.1529768459229923</v>
      </c>
      <c r="N147" s="48">
        <f t="shared" si="26"/>
        <v>1.4779915066105693</v>
      </c>
      <c r="O147" s="48">
        <f t="shared" si="27"/>
        <v>1.7609538163468885</v>
      </c>
      <c r="P147" s="48">
        <f t="shared" si="28"/>
        <v>2.0160030035171554</v>
      </c>
      <c r="Q147" s="45">
        <f t="shared" si="17"/>
        <v>7.216407563086765</v>
      </c>
      <c r="R147" s="2"/>
      <c r="S147" s="2"/>
      <c r="T147" s="2"/>
      <c r="U147" s="2"/>
      <c r="V147" s="2"/>
      <c r="W147" s="2"/>
      <c r="X147" s="2"/>
      <c r="Y147" s="2"/>
    </row>
    <row r="148" spans="1:25" ht="13.2" x14ac:dyDescent="0.25">
      <c r="A148" s="83"/>
      <c r="B148" s="46">
        <v>75</v>
      </c>
      <c r="C148" s="47">
        <f t="shared" si="14"/>
        <v>3.7882075421079318</v>
      </c>
      <c r="D148" s="48">
        <f t="shared" si="15"/>
        <v>0</v>
      </c>
      <c r="E148" s="48" t="str">
        <f t="shared" si="16"/>
        <v/>
      </c>
      <c r="F148" s="48" t="str">
        <f t="shared" si="18"/>
        <v/>
      </c>
      <c r="G148" s="48" t="str">
        <f t="shared" si="19"/>
        <v/>
      </c>
      <c r="H148" s="48" t="str">
        <f t="shared" si="20"/>
        <v/>
      </c>
      <c r="I148" s="48" t="str">
        <f t="shared" si="21"/>
        <v/>
      </c>
      <c r="J148" s="48" t="str">
        <f t="shared" si="22"/>
        <v/>
      </c>
      <c r="K148" s="48" t="str">
        <f t="shared" si="23"/>
        <v/>
      </c>
      <c r="L148" s="48">
        <f t="shared" si="24"/>
        <v>0.56942238951868651</v>
      </c>
      <c r="M148" s="48">
        <f t="shared" si="25"/>
        <v>1.0113265380549155</v>
      </c>
      <c r="N148" s="48">
        <f t="shared" si="26"/>
        <v>1.3562419014662015</v>
      </c>
      <c r="O148" s="48">
        <f t="shared" si="27"/>
        <v>1.6518461670651909</v>
      </c>
      <c r="P148" s="48">
        <f t="shared" si="28"/>
        <v>1.9159015614072248</v>
      </c>
      <c r="Q148" s="45">
        <f t="shared" si="17"/>
        <v>6.5047385575122192</v>
      </c>
      <c r="R148" s="2"/>
      <c r="S148" s="2"/>
      <c r="T148" s="2"/>
      <c r="U148" s="2"/>
      <c r="V148" s="2"/>
      <c r="W148" s="2"/>
      <c r="X148" s="2"/>
      <c r="Y148" s="2"/>
    </row>
    <row r="149" spans="1:25" ht="13.2" x14ac:dyDescent="0.25">
      <c r="A149" s="83"/>
      <c r="B149" s="46">
        <v>76</v>
      </c>
      <c r="C149" s="47">
        <f t="shared" si="14"/>
        <v>3.8387169760027042</v>
      </c>
      <c r="D149" s="48">
        <f t="shared" si="15"/>
        <v>0</v>
      </c>
      <c r="E149" s="48" t="str">
        <f t="shared" si="16"/>
        <v/>
      </c>
      <c r="F149" s="48" t="str">
        <f t="shared" si="18"/>
        <v/>
      </c>
      <c r="G149" s="48" t="str">
        <f t="shared" si="19"/>
        <v/>
      </c>
      <c r="H149" s="48" t="str">
        <f t="shared" si="20"/>
        <v/>
      </c>
      <c r="I149" s="48" t="str">
        <f t="shared" si="21"/>
        <v/>
      </c>
      <c r="J149" s="48" t="str">
        <f t="shared" si="22"/>
        <v/>
      </c>
      <c r="K149" s="48" t="str">
        <f t="shared" si="23"/>
        <v/>
      </c>
      <c r="L149" s="48">
        <f t="shared" si="24"/>
        <v>0.3880545753007319</v>
      </c>
      <c r="M149" s="48">
        <f t="shared" si="25"/>
        <v>0.86967623018683959</v>
      </c>
      <c r="N149" s="48">
        <f t="shared" si="26"/>
        <v>1.2344922963218328</v>
      </c>
      <c r="O149" s="48">
        <f t="shared" si="27"/>
        <v>1.5427385177834934</v>
      </c>
      <c r="P149" s="48">
        <f t="shared" si="28"/>
        <v>1.8158001192972941</v>
      </c>
      <c r="Q149" s="45">
        <f t="shared" si="17"/>
        <v>5.850761738890192</v>
      </c>
      <c r="R149" s="2"/>
      <c r="S149" s="2"/>
      <c r="T149" s="2"/>
      <c r="U149" s="2"/>
      <c r="V149" s="2"/>
      <c r="W149" s="2"/>
      <c r="X149" s="2"/>
      <c r="Y149" s="2"/>
    </row>
    <row r="150" spans="1:25" ht="13.2" x14ac:dyDescent="0.25">
      <c r="A150" s="83"/>
      <c r="B150" s="46">
        <v>77</v>
      </c>
      <c r="C150" s="47">
        <f t="shared" si="14"/>
        <v>3.8892264098974767</v>
      </c>
      <c r="D150" s="48">
        <f t="shared" si="15"/>
        <v>0</v>
      </c>
      <c r="E150" s="48" t="str">
        <f t="shared" si="16"/>
        <v/>
      </c>
      <c r="F150" s="48" t="str">
        <f t="shared" si="18"/>
        <v/>
      </c>
      <c r="G150" s="48" t="str">
        <f t="shared" si="19"/>
        <v/>
      </c>
      <c r="H150" s="48" t="str">
        <f t="shared" si="20"/>
        <v/>
      </c>
      <c r="I150" s="48" t="str">
        <f t="shared" si="21"/>
        <v/>
      </c>
      <c r="J150" s="48" t="str">
        <f t="shared" si="22"/>
        <v/>
      </c>
      <c r="K150" s="48" t="str">
        <f t="shared" si="23"/>
        <v/>
      </c>
      <c r="L150" s="48">
        <f t="shared" si="24"/>
        <v>0.20668676108277864</v>
      </c>
      <c r="M150" s="48">
        <f t="shared" si="25"/>
        <v>0.72802592231876273</v>
      </c>
      <c r="N150" s="48">
        <f t="shared" si="26"/>
        <v>1.1127426911774649</v>
      </c>
      <c r="O150" s="48">
        <f t="shared" si="27"/>
        <v>1.4336308685017949</v>
      </c>
      <c r="P150" s="48">
        <f t="shared" si="28"/>
        <v>1.7156986771873639</v>
      </c>
      <c r="Q150" s="45">
        <f t="shared" si="17"/>
        <v>5.1967849202681649</v>
      </c>
      <c r="R150" s="2"/>
      <c r="S150" s="2"/>
      <c r="T150" s="2"/>
      <c r="U150" s="2"/>
      <c r="V150" s="2"/>
      <c r="W150" s="2"/>
      <c r="X150" s="2"/>
      <c r="Y150" s="2"/>
    </row>
    <row r="151" spans="1:25" ht="13.2" x14ac:dyDescent="0.25">
      <c r="A151" s="83"/>
      <c r="B151" s="46">
        <v>78</v>
      </c>
      <c r="C151" s="47">
        <f t="shared" si="14"/>
        <v>3.9397358437922487</v>
      </c>
      <c r="D151" s="48">
        <f t="shared" si="15"/>
        <v>0</v>
      </c>
      <c r="E151" s="48" t="str">
        <f t="shared" si="16"/>
        <v/>
      </c>
      <c r="F151" s="48" t="str">
        <f t="shared" si="18"/>
        <v/>
      </c>
      <c r="G151" s="48" t="str">
        <f t="shared" si="19"/>
        <v/>
      </c>
      <c r="H151" s="48" t="str">
        <f t="shared" si="20"/>
        <v/>
      </c>
      <c r="I151" s="48" t="str">
        <f t="shared" si="21"/>
        <v/>
      </c>
      <c r="J151" s="48" t="str">
        <f t="shared" si="22"/>
        <v/>
      </c>
      <c r="K151" s="48" t="str">
        <f t="shared" si="23"/>
        <v/>
      </c>
      <c r="L151" s="48">
        <f t="shared" si="24"/>
        <v>2.5318946864825404E-2</v>
      </c>
      <c r="M151" s="48">
        <f t="shared" si="25"/>
        <v>0.58637561445068687</v>
      </c>
      <c r="N151" s="48">
        <f t="shared" si="26"/>
        <v>0.99099308603309821</v>
      </c>
      <c r="O151" s="48">
        <f t="shared" si="27"/>
        <v>1.3245232192200975</v>
      </c>
      <c r="P151" s="48">
        <f t="shared" si="28"/>
        <v>1.6155972350774332</v>
      </c>
      <c r="Q151" s="45">
        <f t="shared" si="17"/>
        <v>4.5428081016461412</v>
      </c>
      <c r="R151" s="2"/>
      <c r="S151" s="2"/>
      <c r="T151" s="2"/>
      <c r="U151" s="2"/>
      <c r="V151" s="2"/>
      <c r="W151" s="2"/>
      <c r="X151" s="2"/>
      <c r="Y151" s="2"/>
    </row>
    <row r="152" spans="1:25" ht="13.2" x14ac:dyDescent="0.25">
      <c r="A152" s="83"/>
      <c r="B152" s="46">
        <v>79</v>
      </c>
      <c r="C152" s="47">
        <f t="shared" si="14"/>
        <v>3.9902452776870212</v>
      </c>
      <c r="D152" s="48">
        <f t="shared" si="15"/>
        <v>0</v>
      </c>
      <c r="E152" s="48" t="str">
        <f t="shared" si="16"/>
        <v/>
      </c>
      <c r="F152" s="48" t="str">
        <f t="shared" si="18"/>
        <v/>
      </c>
      <c r="G152" s="48" t="str">
        <f t="shared" si="19"/>
        <v/>
      </c>
      <c r="H152" s="48" t="str">
        <f t="shared" si="20"/>
        <v/>
      </c>
      <c r="I152" s="48" t="str">
        <f t="shared" si="21"/>
        <v/>
      </c>
      <c r="J152" s="48" t="str">
        <f t="shared" si="22"/>
        <v/>
      </c>
      <c r="K152" s="48" t="str">
        <f t="shared" si="23"/>
        <v/>
      </c>
      <c r="L152" s="48" t="str">
        <f t="shared" si="24"/>
        <v/>
      </c>
      <c r="M152" s="48">
        <f t="shared" si="25"/>
        <v>0.44472530658261117</v>
      </c>
      <c r="N152" s="48">
        <f t="shared" si="26"/>
        <v>0.86924348088872949</v>
      </c>
      <c r="O152" s="48">
        <f t="shared" si="27"/>
        <v>1.2154155699383999</v>
      </c>
      <c r="P152" s="48">
        <f t="shared" si="28"/>
        <v>1.5154957929675028</v>
      </c>
      <c r="Q152" s="45">
        <f t="shared" si="17"/>
        <v>4.0448801503772431</v>
      </c>
      <c r="R152" s="2"/>
      <c r="S152" s="2"/>
      <c r="T152" s="2"/>
      <c r="U152" s="2"/>
      <c r="V152" s="2"/>
      <c r="W152" s="2"/>
      <c r="X152" s="2"/>
      <c r="Y152" s="2"/>
    </row>
    <row r="153" spans="1:25" ht="13.2" x14ac:dyDescent="0.25">
      <c r="A153" s="83"/>
      <c r="B153" s="46">
        <v>80</v>
      </c>
      <c r="C153" s="47">
        <f t="shared" si="14"/>
        <v>4.0407547115817941</v>
      </c>
      <c r="D153" s="48">
        <f t="shared" si="15"/>
        <v>0</v>
      </c>
      <c r="E153" s="48" t="str">
        <f t="shared" si="16"/>
        <v/>
      </c>
      <c r="F153" s="48" t="str">
        <f t="shared" si="18"/>
        <v/>
      </c>
      <c r="G153" s="48" t="str">
        <f t="shared" si="19"/>
        <v/>
      </c>
      <c r="H153" s="48" t="str">
        <f t="shared" si="20"/>
        <v/>
      </c>
      <c r="I153" s="48" t="str">
        <f t="shared" si="21"/>
        <v/>
      </c>
      <c r="J153" s="48" t="str">
        <f t="shared" si="22"/>
        <v/>
      </c>
      <c r="K153" s="48" t="str">
        <f t="shared" si="23"/>
        <v/>
      </c>
      <c r="L153" s="48" t="str">
        <f t="shared" si="24"/>
        <v/>
      </c>
      <c r="M153" s="48">
        <f t="shared" si="25"/>
        <v>0.30307499871453425</v>
      </c>
      <c r="N153" s="48">
        <f t="shared" si="26"/>
        <v>0.74749387574436166</v>
      </c>
      <c r="O153" s="48">
        <f t="shared" si="27"/>
        <v>1.1063079206567015</v>
      </c>
      <c r="P153" s="48">
        <f t="shared" si="28"/>
        <v>1.4153943508575726</v>
      </c>
      <c r="Q153" s="45">
        <f t="shared" si="17"/>
        <v>3.5722711459731702</v>
      </c>
      <c r="R153" s="2"/>
      <c r="S153" s="2"/>
      <c r="T153" s="2"/>
      <c r="U153" s="2"/>
      <c r="V153" s="2"/>
      <c r="W153" s="2"/>
      <c r="X153" s="2"/>
      <c r="Y153" s="2"/>
    </row>
    <row r="154" spans="1:25" ht="13.2" x14ac:dyDescent="0.25">
      <c r="A154" s="83"/>
      <c r="B154" s="46">
        <v>81</v>
      </c>
      <c r="C154" s="47">
        <f t="shared" si="14"/>
        <v>4.0912641454765666</v>
      </c>
      <c r="D154" s="48">
        <f t="shared" si="15"/>
        <v>0</v>
      </c>
      <c r="E154" s="48" t="str">
        <f t="shared" si="16"/>
        <v/>
      </c>
      <c r="F154" s="48" t="str">
        <f t="shared" si="18"/>
        <v/>
      </c>
      <c r="G154" s="48" t="str">
        <f t="shared" si="19"/>
        <v/>
      </c>
      <c r="H154" s="48" t="str">
        <f t="shared" si="20"/>
        <v/>
      </c>
      <c r="I154" s="48" t="str">
        <f t="shared" si="21"/>
        <v/>
      </c>
      <c r="J154" s="48" t="str">
        <f t="shared" si="22"/>
        <v/>
      </c>
      <c r="K154" s="48" t="str">
        <f t="shared" si="23"/>
        <v/>
      </c>
      <c r="L154" s="48" t="str">
        <f t="shared" si="24"/>
        <v/>
      </c>
      <c r="M154" s="48">
        <f t="shared" si="25"/>
        <v>0.16142469084645847</v>
      </c>
      <c r="N154" s="48">
        <f t="shared" si="26"/>
        <v>0.62574427059999294</v>
      </c>
      <c r="O154" s="48">
        <f t="shared" si="27"/>
        <v>0.997200271375004</v>
      </c>
      <c r="P154" s="48">
        <f t="shared" si="28"/>
        <v>1.3152929087476415</v>
      </c>
      <c r="Q154" s="45">
        <f t="shared" si="17"/>
        <v>3.0996621415690968</v>
      </c>
      <c r="R154" s="2"/>
      <c r="S154" s="2"/>
      <c r="T154" s="2"/>
      <c r="U154" s="2"/>
      <c r="V154" s="2"/>
      <c r="W154" s="2"/>
      <c r="X154" s="2"/>
      <c r="Y154" s="2"/>
    </row>
    <row r="155" spans="1:25" ht="13.2" x14ac:dyDescent="0.25">
      <c r="A155" s="83"/>
      <c r="B155" s="46">
        <v>82</v>
      </c>
      <c r="C155" s="47">
        <f t="shared" si="14"/>
        <v>4.1417735793713391</v>
      </c>
      <c r="D155" s="48">
        <f t="shared" si="15"/>
        <v>0</v>
      </c>
      <c r="E155" s="48" t="str">
        <f t="shared" si="16"/>
        <v/>
      </c>
      <c r="F155" s="48" t="str">
        <f t="shared" si="18"/>
        <v/>
      </c>
      <c r="G155" s="48" t="str">
        <f t="shared" si="19"/>
        <v/>
      </c>
      <c r="H155" s="48" t="str">
        <f t="shared" si="20"/>
        <v/>
      </c>
      <c r="I155" s="48" t="str">
        <f t="shared" si="21"/>
        <v/>
      </c>
      <c r="J155" s="48" t="str">
        <f t="shared" si="22"/>
        <v/>
      </c>
      <c r="K155" s="48" t="str">
        <f t="shared" si="23"/>
        <v/>
      </c>
      <c r="L155" s="48" t="str">
        <f t="shared" si="24"/>
        <v/>
      </c>
      <c r="M155" s="48">
        <f t="shared" si="25"/>
        <v>1.9774382978382698E-2</v>
      </c>
      <c r="N155" s="48">
        <f t="shared" si="26"/>
        <v>0.50399466545562521</v>
      </c>
      <c r="O155" s="48">
        <f t="shared" si="27"/>
        <v>0.8880926220933073</v>
      </c>
      <c r="P155" s="48">
        <f t="shared" si="28"/>
        <v>1.2151914666377113</v>
      </c>
      <c r="Q155" s="45">
        <f t="shared" si="17"/>
        <v>2.6270531371650265</v>
      </c>
      <c r="R155" s="2"/>
      <c r="S155" s="2"/>
      <c r="T155" s="2"/>
      <c r="U155" s="2"/>
      <c r="V155" s="2"/>
      <c r="W155" s="2"/>
      <c r="X155" s="2"/>
      <c r="Y155" s="2"/>
    </row>
    <row r="156" spans="1:25" ht="13.2" x14ac:dyDescent="0.25">
      <c r="A156" s="83"/>
      <c r="B156" s="46">
        <v>83</v>
      </c>
      <c r="C156" s="47">
        <f t="shared" si="14"/>
        <v>4.1922830132661106</v>
      </c>
      <c r="D156" s="48">
        <f t="shared" si="15"/>
        <v>0</v>
      </c>
      <c r="E156" s="48" t="str">
        <f t="shared" si="16"/>
        <v/>
      </c>
      <c r="F156" s="48" t="str">
        <f t="shared" si="18"/>
        <v/>
      </c>
      <c r="G156" s="48" t="str">
        <f t="shared" si="19"/>
        <v/>
      </c>
      <c r="H156" s="48" t="str">
        <f t="shared" si="20"/>
        <v/>
      </c>
      <c r="I156" s="48" t="str">
        <f t="shared" si="21"/>
        <v/>
      </c>
      <c r="J156" s="48" t="str">
        <f t="shared" si="22"/>
        <v/>
      </c>
      <c r="K156" s="48" t="str">
        <f t="shared" si="23"/>
        <v/>
      </c>
      <c r="L156" s="48" t="str">
        <f t="shared" si="24"/>
        <v/>
      </c>
      <c r="M156" s="48" t="str">
        <f t="shared" si="25"/>
        <v/>
      </c>
      <c r="N156" s="48">
        <f t="shared" si="26"/>
        <v>0.38224506031125743</v>
      </c>
      <c r="O156" s="48">
        <f t="shared" si="27"/>
        <v>0.77898497281160894</v>
      </c>
      <c r="P156" s="48">
        <f t="shared" si="28"/>
        <v>1.1150900245277811</v>
      </c>
      <c r="Q156" s="45">
        <f t="shared" si="17"/>
        <v>2.2763200576506475</v>
      </c>
      <c r="R156" s="2"/>
      <c r="S156" s="2"/>
      <c r="T156" s="2"/>
      <c r="U156" s="2"/>
      <c r="V156" s="2"/>
      <c r="W156" s="2"/>
      <c r="X156" s="2"/>
      <c r="Y156" s="2"/>
    </row>
    <row r="157" spans="1:25" ht="13.2" x14ac:dyDescent="0.25">
      <c r="A157" s="83"/>
      <c r="B157" s="46">
        <v>84</v>
      </c>
      <c r="C157" s="47">
        <f t="shared" si="14"/>
        <v>4.2427924471608831</v>
      </c>
      <c r="D157" s="48">
        <f t="shared" si="15"/>
        <v>0</v>
      </c>
      <c r="E157" s="48" t="str">
        <f t="shared" si="16"/>
        <v/>
      </c>
      <c r="F157" s="48" t="str">
        <f t="shared" si="18"/>
        <v/>
      </c>
      <c r="G157" s="48" t="str">
        <f t="shared" si="19"/>
        <v/>
      </c>
      <c r="H157" s="48" t="str">
        <f t="shared" si="20"/>
        <v/>
      </c>
      <c r="I157" s="48" t="str">
        <f t="shared" si="21"/>
        <v/>
      </c>
      <c r="J157" s="48" t="str">
        <f t="shared" si="22"/>
        <v/>
      </c>
      <c r="K157" s="48" t="str">
        <f t="shared" si="23"/>
        <v/>
      </c>
      <c r="L157" s="48" t="str">
        <f t="shared" si="24"/>
        <v/>
      </c>
      <c r="M157" s="48" t="str">
        <f t="shared" si="25"/>
        <v/>
      </c>
      <c r="N157" s="48">
        <f t="shared" si="26"/>
        <v>0.26049545516688866</v>
      </c>
      <c r="O157" s="48">
        <f t="shared" si="27"/>
        <v>0.66987732352991136</v>
      </c>
      <c r="P157" s="48">
        <f t="shared" si="28"/>
        <v>1.0149885824178499</v>
      </c>
      <c r="Q157" s="45">
        <f t="shared" si="17"/>
        <v>1.9453613611146499</v>
      </c>
      <c r="R157" s="2"/>
      <c r="S157" s="2"/>
      <c r="T157" s="2"/>
      <c r="U157" s="2"/>
      <c r="V157" s="2"/>
      <c r="W157" s="2"/>
      <c r="X157" s="2"/>
      <c r="Y157" s="2"/>
    </row>
    <row r="158" spans="1:25" ht="13.2" x14ac:dyDescent="0.25">
      <c r="A158" s="83"/>
      <c r="B158" s="46">
        <v>85</v>
      </c>
      <c r="C158" s="47">
        <f t="shared" si="14"/>
        <v>4.2933018810556556</v>
      </c>
      <c r="D158" s="48">
        <f t="shared" si="15"/>
        <v>0</v>
      </c>
      <c r="E158" s="48" t="str">
        <f t="shared" si="16"/>
        <v/>
      </c>
      <c r="F158" s="48" t="str">
        <f t="shared" si="18"/>
        <v/>
      </c>
      <c r="G158" s="48" t="str">
        <f t="shared" si="19"/>
        <v/>
      </c>
      <c r="H158" s="48" t="str">
        <f t="shared" si="20"/>
        <v/>
      </c>
      <c r="I158" s="48" t="str">
        <f t="shared" si="21"/>
        <v/>
      </c>
      <c r="J158" s="48" t="str">
        <f t="shared" si="22"/>
        <v/>
      </c>
      <c r="K158" s="48" t="str">
        <f t="shared" si="23"/>
        <v/>
      </c>
      <c r="L158" s="48" t="str">
        <f t="shared" si="24"/>
        <v/>
      </c>
      <c r="M158" s="48" t="str">
        <f t="shared" si="25"/>
        <v/>
      </c>
      <c r="N158" s="48">
        <f t="shared" si="26"/>
        <v>0.13874585002252093</v>
      </c>
      <c r="O158" s="48">
        <f t="shared" si="27"/>
        <v>0.560769674248213</v>
      </c>
      <c r="P158" s="48">
        <f t="shared" si="28"/>
        <v>0.91488714030791973</v>
      </c>
      <c r="Q158" s="45">
        <f t="shared" si="17"/>
        <v>1.6144026645786536</v>
      </c>
      <c r="R158" s="2"/>
      <c r="S158" s="2"/>
      <c r="T158" s="2"/>
      <c r="U158" s="2"/>
      <c r="V158" s="2"/>
      <c r="W158" s="2"/>
      <c r="X158" s="2"/>
      <c r="Y158" s="2"/>
    </row>
    <row r="159" spans="1:25" ht="13.2" x14ac:dyDescent="0.25">
      <c r="A159" s="83"/>
      <c r="B159" s="46">
        <v>86</v>
      </c>
      <c r="C159" s="47">
        <f t="shared" si="14"/>
        <v>4.343811314950428</v>
      </c>
      <c r="D159" s="48">
        <f t="shared" si="15"/>
        <v>0</v>
      </c>
      <c r="E159" s="48" t="str">
        <f t="shared" si="16"/>
        <v/>
      </c>
      <c r="F159" s="48" t="str">
        <f t="shared" si="18"/>
        <v/>
      </c>
      <c r="G159" s="48" t="str">
        <f t="shared" si="19"/>
        <v/>
      </c>
      <c r="H159" s="48" t="str">
        <f t="shared" si="20"/>
        <v/>
      </c>
      <c r="I159" s="48" t="str">
        <f t="shared" si="21"/>
        <v/>
      </c>
      <c r="J159" s="48" t="str">
        <f t="shared" si="22"/>
        <v/>
      </c>
      <c r="K159" s="48" t="str">
        <f t="shared" si="23"/>
        <v/>
      </c>
      <c r="L159" s="48" t="str">
        <f t="shared" si="24"/>
        <v/>
      </c>
      <c r="M159" s="48" t="str">
        <f t="shared" si="25"/>
        <v/>
      </c>
      <c r="N159" s="48">
        <f t="shared" si="26"/>
        <v>1.6996244878153155E-2</v>
      </c>
      <c r="O159" s="48">
        <f t="shared" si="27"/>
        <v>0.45166202496651542</v>
      </c>
      <c r="P159" s="48">
        <f t="shared" si="28"/>
        <v>0.81478569819799029</v>
      </c>
      <c r="Q159" s="45">
        <f t="shared" si="17"/>
        <v>1.2834439680426588</v>
      </c>
      <c r="R159" s="2"/>
      <c r="S159" s="2"/>
      <c r="T159" s="2"/>
      <c r="U159" s="2"/>
      <c r="V159" s="2"/>
      <c r="W159" s="2"/>
      <c r="X159" s="2"/>
      <c r="Y159" s="2"/>
    </row>
    <row r="160" spans="1:25" ht="13.2" x14ac:dyDescent="0.25">
      <c r="A160" s="83"/>
      <c r="B160" s="46">
        <v>87</v>
      </c>
      <c r="C160" s="47">
        <f t="shared" si="14"/>
        <v>4.3943207488452005</v>
      </c>
      <c r="D160" s="48">
        <f t="shared" si="15"/>
        <v>0</v>
      </c>
      <c r="E160" s="48" t="str">
        <f t="shared" si="16"/>
        <v/>
      </c>
      <c r="F160" s="48" t="str">
        <f t="shared" si="18"/>
        <v/>
      </c>
      <c r="G160" s="48" t="str">
        <f t="shared" si="19"/>
        <v/>
      </c>
      <c r="H160" s="48" t="str">
        <f t="shared" si="20"/>
        <v/>
      </c>
      <c r="I160" s="48" t="str">
        <f t="shared" si="21"/>
        <v/>
      </c>
      <c r="J160" s="48" t="str">
        <f t="shared" si="22"/>
        <v/>
      </c>
      <c r="K160" s="48" t="str">
        <f t="shared" si="23"/>
        <v/>
      </c>
      <c r="L160" s="48" t="str">
        <f t="shared" si="24"/>
        <v/>
      </c>
      <c r="M160" s="48" t="str">
        <f t="shared" si="25"/>
        <v/>
      </c>
      <c r="N160" s="48" t="str">
        <f t="shared" si="26"/>
        <v/>
      </c>
      <c r="O160" s="48">
        <f t="shared" si="27"/>
        <v>0.34255437568481789</v>
      </c>
      <c r="P160" s="48">
        <f t="shared" si="28"/>
        <v>0.71468425608805919</v>
      </c>
      <c r="Q160" s="45">
        <f t="shared" si="17"/>
        <v>1.057238631772877</v>
      </c>
      <c r="R160" s="2"/>
      <c r="S160" s="2"/>
      <c r="T160" s="2"/>
      <c r="U160" s="2"/>
      <c r="V160" s="2"/>
      <c r="W160" s="2"/>
      <c r="X160" s="2"/>
      <c r="Y160" s="2"/>
    </row>
    <row r="161" spans="1:25" ht="13.2" x14ac:dyDescent="0.25">
      <c r="A161" s="83"/>
      <c r="B161" s="46">
        <v>88</v>
      </c>
      <c r="C161" s="47">
        <f t="shared" si="14"/>
        <v>4.444830182739973</v>
      </c>
      <c r="D161" s="48">
        <f t="shared" si="15"/>
        <v>0</v>
      </c>
      <c r="E161" s="48" t="str">
        <f t="shared" si="16"/>
        <v/>
      </c>
      <c r="F161" s="48" t="str">
        <f t="shared" si="18"/>
        <v/>
      </c>
      <c r="G161" s="48" t="str">
        <f t="shared" si="19"/>
        <v/>
      </c>
      <c r="H161" s="48" t="str">
        <f t="shared" si="20"/>
        <v/>
      </c>
      <c r="I161" s="48" t="str">
        <f t="shared" si="21"/>
        <v/>
      </c>
      <c r="J161" s="48" t="str">
        <f t="shared" si="22"/>
        <v/>
      </c>
      <c r="K161" s="48" t="str">
        <f t="shared" si="23"/>
        <v/>
      </c>
      <c r="L161" s="48" t="str">
        <f t="shared" si="24"/>
        <v/>
      </c>
      <c r="M161" s="48" t="str">
        <f t="shared" si="25"/>
        <v/>
      </c>
      <c r="N161" s="48" t="str">
        <f t="shared" si="26"/>
        <v/>
      </c>
      <c r="O161" s="48">
        <f t="shared" si="27"/>
        <v>0.2334467264031195</v>
      </c>
      <c r="P161" s="48">
        <f t="shared" si="28"/>
        <v>0.61458281397812897</v>
      </c>
      <c r="Q161" s="45">
        <f t="shared" si="17"/>
        <v>0.84802954038124845</v>
      </c>
      <c r="R161" s="2"/>
      <c r="S161" s="2"/>
      <c r="T161" s="2"/>
      <c r="U161" s="2"/>
      <c r="V161" s="2"/>
      <c r="W161" s="2"/>
      <c r="X161" s="2"/>
      <c r="Y161" s="2"/>
    </row>
    <row r="162" spans="1:25" ht="13.2" x14ac:dyDescent="0.25">
      <c r="A162" s="83"/>
      <c r="B162" s="46">
        <v>89</v>
      </c>
      <c r="C162" s="47">
        <f t="shared" si="14"/>
        <v>4.4953396166347455</v>
      </c>
      <c r="D162" s="48">
        <f t="shared" si="15"/>
        <v>0</v>
      </c>
      <c r="E162" s="48" t="str">
        <f t="shared" si="16"/>
        <v/>
      </c>
      <c r="F162" s="48" t="str">
        <f t="shared" si="18"/>
        <v/>
      </c>
      <c r="G162" s="48" t="str">
        <f t="shared" si="19"/>
        <v/>
      </c>
      <c r="H162" s="48" t="str">
        <f t="shared" si="20"/>
        <v/>
      </c>
      <c r="I162" s="48" t="str">
        <f t="shared" si="21"/>
        <v/>
      </c>
      <c r="J162" s="48" t="str">
        <f t="shared" si="22"/>
        <v/>
      </c>
      <c r="K162" s="48" t="str">
        <f t="shared" si="23"/>
        <v/>
      </c>
      <c r="L162" s="48" t="str">
        <f t="shared" si="24"/>
        <v/>
      </c>
      <c r="M162" s="48" t="str">
        <f t="shared" si="25"/>
        <v/>
      </c>
      <c r="N162" s="48" t="str">
        <f t="shared" si="26"/>
        <v/>
      </c>
      <c r="O162" s="48">
        <f t="shared" si="27"/>
        <v>0.12433907712142199</v>
      </c>
      <c r="P162" s="48">
        <f t="shared" si="28"/>
        <v>0.51448137186819787</v>
      </c>
      <c r="Q162" s="45">
        <f t="shared" si="17"/>
        <v>0.63882044898961987</v>
      </c>
      <c r="R162" s="2"/>
      <c r="S162" s="2"/>
      <c r="T162" s="2"/>
      <c r="U162" s="2"/>
      <c r="V162" s="2"/>
      <c r="W162" s="2"/>
      <c r="X162" s="2"/>
      <c r="Y162" s="2"/>
    </row>
    <row r="163" spans="1:25" ht="13.2" x14ac:dyDescent="0.25">
      <c r="A163" s="83"/>
      <c r="B163" s="46">
        <v>90</v>
      </c>
      <c r="C163" s="47">
        <f t="shared" si="14"/>
        <v>4.5458490505295179</v>
      </c>
      <c r="D163" s="48">
        <f t="shared" si="15"/>
        <v>0</v>
      </c>
      <c r="E163" s="48" t="str">
        <f t="shared" si="16"/>
        <v/>
      </c>
      <c r="F163" s="48" t="str">
        <f t="shared" si="18"/>
        <v/>
      </c>
      <c r="G163" s="48" t="str">
        <f t="shared" si="19"/>
        <v/>
      </c>
      <c r="H163" s="48" t="str">
        <f t="shared" si="20"/>
        <v/>
      </c>
      <c r="I163" s="48" t="str">
        <f t="shared" si="21"/>
        <v/>
      </c>
      <c r="J163" s="48" t="str">
        <f t="shared" si="22"/>
        <v/>
      </c>
      <c r="K163" s="48" t="str">
        <f t="shared" si="23"/>
        <v/>
      </c>
      <c r="L163" s="48" t="str">
        <f t="shared" si="24"/>
        <v/>
      </c>
      <c r="M163" s="48" t="str">
        <f t="shared" si="25"/>
        <v/>
      </c>
      <c r="N163" s="48" t="str">
        <f t="shared" si="26"/>
        <v/>
      </c>
      <c r="O163" s="48">
        <f t="shared" si="27"/>
        <v>1.5231427839724452E-2</v>
      </c>
      <c r="P163" s="48">
        <f t="shared" si="28"/>
        <v>0.41437992975826765</v>
      </c>
      <c r="Q163" s="45">
        <f t="shared" si="17"/>
        <v>0.42961135759799213</v>
      </c>
      <c r="R163" s="2"/>
      <c r="S163" s="2"/>
      <c r="T163" s="2"/>
      <c r="U163" s="2"/>
      <c r="V163" s="2"/>
      <c r="W163" s="2"/>
      <c r="X163" s="2"/>
      <c r="Y163" s="2"/>
    </row>
    <row r="164" spans="1:25" ht="13.2" x14ac:dyDescent="0.25">
      <c r="A164" s="83"/>
      <c r="B164" s="46">
        <v>91</v>
      </c>
      <c r="C164" s="47">
        <f t="shared" si="14"/>
        <v>4.5963584844242904</v>
      </c>
      <c r="D164" s="48">
        <f t="shared" si="15"/>
        <v>0</v>
      </c>
      <c r="E164" s="48" t="str">
        <f t="shared" si="16"/>
        <v/>
      </c>
      <c r="F164" s="48" t="str">
        <f t="shared" si="18"/>
        <v/>
      </c>
      <c r="G164" s="48" t="str">
        <f t="shared" si="19"/>
        <v/>
      </c>
      <c r="H164" s="48" t="str">
        <f t="shared" si="20"/>
        <v/>
      </c>
      <c r="I164" s="48" t="str">
        <f t="shared" si="21"/>
        <v/>
      </c>
      <c r="J164" s="48" t="str">
        <f t="shared" si="22"/>
        <v/>
      </c>
      <c r="K164" s="48" t="str">
        <f t="shared" si="23"/>
        <v/>
      </c>
      <c r="L164" s="48" t="str">
        <f t="shared" si="24"/>
        <v/>
      </c>
      <c r="M164" s="48" t="str">
        <f t="shared" si="25"/>
        <v/>
      </c>
      <c r="N164" s="48" t="str">
        <f t="shared" si="26"/>
        <v/>
      </c>
      <c r="O164" s="48" t="str">
        <f t="shared" si="27"/>
        <v/>
      </c>
      <c r="P164" s="48">
        <f t="shared" si="28"/>
        <v>0.31427848764833738</v>
      </c>
      <c r="Q164" s="45">
        <f t="shared" si="17"/>
        <v>0.31427848764833738</v>
      </c>
      <c r="R164" s="2"/>
      <c r="S164" s="2"/>
      <c r="T164" s="2"/>
      <c r="U164" s="2"/>
      <c r="V164" s="2"/>
      <c r="W164" s="2"/>
      <c r="X164" s="2"/>
      <c r="Y164" s="2"/>
    </row>
    <row r="165" spans="1:25" ht="13.2" x14ac:dyDescent="0.25">
      <c r="A165" s="83"/>
      <c r="B165" s="46">
        <v>92</v>
      </c>
      <c r="C165" s="47">
        <f t="shared" si="14"/>
        <v>4.6468679183190629</v>
      </c>
      <c r="D165" s="48">
        <f t="shared" si="15"/>
        <v>0</v>
      </c>
      <c r="E165" s="48" t="str">
        <f t="shared" si="16"/>
        <v/>
      </c>
      <c r="F165" s="48" t="str">
        <f t="shared" si="18"/>
        <v/>
      </c>
      <c r="G165" s="48" t="str">
        <f t="shared" si="19"/>
        <v/>
      </c>
      <c r="H165" s="48" t="str">
        <f t="shared" si="20"/>
        <v/>
      </c>
      <c r="I165" s="48" t="str">
        <f t="shared" si="21"/>
        <v/>
      </c>
      <c r="J165" s="48" t="str">
        <f t="shared" si="22"/>
        <v/>
      </c>
      <c r="K165" s="48" t="str">
        <f t="shared" si="23"/>
        <v/>
      </c>
      <c r="L165" s="48" t="str">
        <f t="shared" si="24"/>
        <v/>
      </c>
      <c r="M165" s="48" t="str">
        <f t="shared" si="25"/>
        <v/>
      </c>
      <c r="N165" s="48" t="str">
        <f t="shared" si="26"/>
        <v/>
      </c>
      <c r="O165" s="48" t="str">
        <f t="shared" si="27"/>
        <v/>
      </c>
      <c r="P165" s="48">
        <f t="shared" si="28"/>
        <v>0.2141770455384063</v>
      </c>
      <c r="Q165" s="45">
        <f t="shared" si="17"/>
        <v>0.2141770455384063</v>
      </c>
      <c r="R165" s="2"/>
      <c r="S165" s="2"/>
      <c r="T165" s="2"/>
      <c r="U165" s="2"/>
      <c r="V165" s="2"/>
      <c r="W165" s="2"/>
      <c r="X165" s="2"/>
      <c r="Y165" s="2"/>
    </row>
    <row r="166" spans="1:25" ht="13.2" x14ac:dyDescent="0.25">
      <c r="A166" s="83"/>
      <c r="B166" s="46">
        <v>93</v>
      </c>
      <c r="C166" s="47">
        <f t="shared" si="14"/>
        <v>4.6973773522138353</v>
      </c>
      <c r="D166" s="48">
        <f t="shared" si="15"/>
        <v>0</v>
      </c>
      <c r="E166" s="48" t="str">
        <f t="shared" si="16"/>
        <v/>
      </c>
      <c r="F166" s="48" t="str">
        <f t="shared" si="18"/>
        <v/>
      </c>
      <c r="G166" s="48" t="str">
        <f t="shared" si="19"/>
        <v/>
      </c>
      <c r="H166" s="48" t="str">
        <f t="shared" si="20"/>
        <v/>
      </c>
      <c r="I166" s="48" t="str">
        <f t="shared" si="21"/>
        <v/>
      </c>
      <c r="J166" s="48" t="str">
        <f t="shared" si="22"/>
        <v/>
      </c>
      <c r="K166" s="48" t="str">
        <f t="shared" si="23"/>
        <v/>
      </c>
      <c r="L166" s="48" t="str">
        <f t="shared" si="24"/>
        <v/>
      </c>
      <c r="M166" s="48" t="str">
        <f t="shared" si="25"/>
        <v/>
      </c>
      <c r="N166" s="48" t="str">
        <f t="shared" si="26"/>
        <v/>
      </c>
      <c r="O166" s="48" t="str">
        <f t="shared" si="27"/>
        <v/>
      </c>
      <c r="P166" s="48">
        <f t="shared" si="28"/>
        <v>0.11407560342847604</v>
      </c>
      <c r="Q166" s="45">
        <f t="shared" si="17"/>
        <v>0.11407560342847604</v>
      </c>
      <c r="R166" s="2"/>
      <c r="S166" s="2"/>
      <c r="T166" s="2"/>
      <c r="U166" s="2"/>
      <c r="V166" s="2"/>
      <c r="W166" s="2"/>
      <c r="X166" s="2"/>
      <c r="Y166" s="2"/>
    </row>
    <row r="167" spans="1:25" ht="13.2" x14ac:dyDescent="0.25">
      <c r="A167" s="83"/>
      <c r="B167" s="46">
        <v>94</v>
      </c>
      <c r="C167" s="47">
        <f t="shared" si="14"/>
        <v>4.7478867861086078</v>
      </c>
      <c r="D167" s="48">
        <f t="shared" si="15"/>
        <v>0</v>
      </c>
      <c r="E167" s="48" t="str">
        <f t="shared" si="16"/>
        <v/>
      </c>
      <c r="F167" s="48" t="str">
        <f t="shared" si="18"/>
        <v/>
      </c>
      <c r="G167" s="48" t="str">
        <f t="shared" si="19"/>
        <v/>
      </c>
      <c r="H167" s="48" t="str">
        <f t="shared" si="20"/>
        <v/>
      </c>
      <c r="I167" s="48" t="str">
        <f t="shared" si="21"/>
        <v/>
      </c>
      <c r="J167" s="48" t="str">
        <f t="shared" si="22"/>
        <v/>
      </c>
      <c r="K167" s="48" t="str">
        <f t="shared" si="23"/>
        <v/>
      </c>
      <c r="L167" s="48" t="str">
        <f t="shared" si="24"/>
        <v/>
      </c>
      <c r="M167" s="48" t="str">
        <f t="shared" si="25"/>
        <v/>
      </c>
      <c r="N167" s="48" t="str">
        <f t="shared" si="26"/>
        <v/>
      </c>
      <c r="O167" s="48" t="str">
        <f t="shared" si="27"/>
        <v/>
      </c>
      <c r="P167" s="48">
        <f t="shared" si="28"/>
        <v>1.3974161318545784E-2</v>
      </c>
      <c r="Q167" s="45">
        <f t="shared" si="17"/>
        <v>1.3974161318545784E-2</v>
      </c>
      <c r="R167" s="2"/>
      <c r="S167" s="2"/>
      <c r="T167" s="2"/>
      <c r="U167" s="2"/>
      <c r="V167" s="2"/>
      <c r="W167" s="2"/>
      <c r="X167" s="2"/>
      <c r="Y167" s="2"/>
    </row>
    <row r="168" spans="1:25" ht="13.2" x14ac:dyDescent="0.25">
      <c r="A168" s="83"/>
      <c r="B168" s="46">
        <v>95</v>
      </c>
      <c r="C168" s="47">
        <f t="shared" si="14"/>
        <v>4.7983962200033803</v>
      </c>
      <c r="D168" s="48">
        <f t="shared" si="15"/>
        <v>0</v>
      </c>
      <c r="E168" s="48" t="str">
        <f t="shared" si="16"/>
        <v/>
      </c>
      <c r="F168" s="48" t="str">
        <f t="shared" si="18"/>
        <v/>
      </c>
      <c r="G168" s="48" t="str">
        <f t="shared" si="19"/>
        <v/>
      </c>
      <c r="H168" s="48" t="str">
        <f t="shared" si="20"/>
        <v/>
      </c>
      <c r="I168" s="48" t="str">
        <f t="shared" si="21"/>
        <v/>
      </c>
      <c r="J168" s="48" t="str">
        <f t="shared" si="22"/>
        <v/>
      </c>
      <c r="K168" s="48" t="str">
        <f t="shared" si="23"/>
        <v/>
      </c>
      <c r="L168" s="48" t="str">
        <f t="shared" si="24"/>
        <v/>
      </c>
      <c r="M168" s="48" t="str">
        <f t="shared" si="25"/>
        <v/>
      </c>
      <c r="N168" s="48" t="str">
        <f t="shared" si="26"/>
        <v/>
      </c>
      <c r="O168" s="48" t="str">
        <f t="shared" si="27"/>
        <v/>
      </c>
      <c r="P168" s="48" t="str">
        <f t="shared" si="28"/>
        <v/>
      </c>
      <c r="Q168" s="45">
        <f t="shared" si="17"/>
        <v>0</v>
      </c>
      <c r="R168" s="2"/>
      <c r="S168" s="2"/>
      <c r="T168" s="2"/>
      <c r="U168" s="2"/>
      <c r="V168" s="2"/>
      <c r="W168" s="2"/>
      <c r="X168" s="2"/>
      <c r="Y168" s="2"/>
    </row>
    <row r="169" spans="1:25" ht="13.2" x14ac:dyDescent="0.25">
      <c r="A169" s="83"/>
      <c r="B169" s="46">
        <v>96</v>
      </c>
      <c r="C169" s="47">
        <f t="shared" si="14"/>
        <v>4.8489056538981528</v>
      </c>
      <c r="D169" s="48">
        <f t="shared" si="15"/>
        <v>0</v>
      </c>
      <c r="E169" s="48" t="str">
        <f t="shared" si="16"/>
        <v/>
      </c>
      <c r="F169" s="48" t="str">
        <f t="shared" si="18"/>
        <v/>
      </c>
      <c r="G169" s="48" t="str">
        <f t="shared" si="19"/>
        <v/>
      </c>
      <c r="H169" s="48" t="str">
        <f t="shared" si="20"/>
        <v/>
      </c>
      <c r="I169" s="48" t="str">
        <f t="shared" si="21"/>
        <v/>
      </c>
      <c r="J169" s="48" t="str">
        <f t="shared" si="22"/>
        <v/>
      </c>
      <c r="K169" s="48" t="str">
        <f t="shared" si="23"/>
        <v/>
      </c>
      <c r="L169" s="48" t="str">
        <f t="shared" si="24"/>
        <v/>
      </c>
      <c r="M169" s="48" t="str">
        <f t="shared" si="25"/>
        <v/>
      </c>
      <c r="N169" s="48" t="str">
        <f t="shared" si="26"/>
        <v/>
      </c>
      <c r="O169" s="48" t="str">
        <f t="shared" si="27"/>
        <v/>
      </c>
      <c r="P169" s="48" t="str">
        <f t="shared" si="28"/>
        <v/>
      </c>
      <c r="Q169" s="45">
        <f t="shared" si="17"/>
        <v>0</v>
      </c>
      <c r="R169" s="2"/>
      <c r="S169" s="2"/>
      <c r="T169" s="2"/>
      <c r="U169" s="2"/>
      <c r="V169" s="2"/>
      <c r="W169" s="2"/>
      <c r="X169" s="2"/>
      <c r="Y169" s="2"/>
    </row>
    <row r="170" spans="1:25" ht="13.2" x14ac:dyDescent="0.25">
      <c r="A170" s="83"/>
      <c r="B170" s="46">
        <v>97</v>
      </c>
      <c r="C170" s="47">
        <f t="shared" si="14"/>
        <v>4.8994150877929252</v>
      </c>
      <c r="D170" s="48">
        <f t="shared" si="15"/>
        <v>0</v>
      </c>
      <c r="E170" s="48" t="str">
        <f t="shared" si="16"/>
        <v/>
      </c>
      <c r="F170" s="48" t="str">
        <f t="shared" si="18"/>
        <v/>
      </c>
      <c r="G170" s="48" t="str">
        <f t="shared" si="19"/>
        <v/>
      </c>
      <c r="H170" s="48" t="str">
        <f t="shared" si="20"/>
        <v/>
      </c>
      <c r="I170" s="48" t="str">
        <f t="shared" si="21"/>
        <v/>
      </c>
      <c r="J170" s="48" t="str">
        <f t="shared" si="22"/>
        <v/>
      </c>
      <c r="K170" s="48" t="str">
        <f t="shared" si="23"/>
        <v/>
      </c>
      <c r="L170" s="48" t="str">
        <f t="shared" si="24"/>
        <v/>
      </c>
      <c r="M170" s="48" t="str">
        <f t="shared" si="25"/>
        <v/>
      </c>
      <c r="N170" s="48" t="str">
        <f t="shared" si="26"/>
        <v/>
      </c>
      <c r="O170" s="48" t="str">
        <f t="shared" si="27"/>
        <v/>
      </c>
      <c r="P170" s="48" t="str">
        <f t="shared" si="28"/>
        <v/>
      </c>
      <c r="Q170" s="45">
        <f t="shared" si="17"/>
        <v>0</v>
      </c>
      <c r="R170" s="2"/>
      <c r="S170" s="2"/>
      <c r="T170" s="2"/>
      <c r="U170" s="2"/>
      <c r="V170" s="2"/>
      <c r="W170" s="2"/>
      <c r="X170" s="2"/>
      <c r="Y170" s="2"/>
    </row>
    <row r="171" spans="1:25" ht="13.2" x14ac:dyDescent="0.25">
      <c r="A171" s="83"/>
      <c r="B171" s="46">
        <v>98</v>
      </c>
      <c r="C171" s="47">
        <f t="shared" si="14"/>
        <v>4.9499245216876977</v>
      </c>
      <c r="D171" s="48">
        <f t="shared" si="15"/>
        <v>0</v>
      </c>
      <c r="E171" s="48" t="str">
        <f t="shared" si="16"/>
        <v/>
      </c>
      <c r="F171" s="48" t="str">
        <f t="shared" si="18"/>
        <v/>
      </c>
      <c r="G171" s="48" t="str">
        <f t="shared" si="19"/>
        <v/>
      </c>
      <c r="H171" s="48" t="str">
        <f t="shared" si="20"/>
        <v/>
      </c>
      <c r="I171" s="48" t="str">
        <f t="shared" si="21"/>
        <v/>
      </c>
      <c r="J171" s="48" t="str">
        <f t="shared" si="22"/>
        <v/>
      </c>
      <c r="K171" s="48" t="str">
        <f t="shared" si="23"/>
        <v/>
      </c>
      <c r="L171" s="48" t="str">
        <f t="shared" si="24"/>
        <v/>
      </c>
      <c r="M171" s="48" t="str">
        <f t="shared" si="25"/>
        <v/>
      </c>
      <c r="N171" s="48" t="str">
        <f t="shared" si="26"/>
        <v/>
      </c>
      <c r="O171" s="48" t="str">
        <f t="shared" si="27"/>
        <v/>
      </c>
      <c r="P171" s="48" t="str">
        <f t="shared" si="28"/>
        <v/>
      </c>
      <c r="Q171" s="45">
        <f t="shared" si="17"/>
        <v>0</v>
      </c>
      <c r="R171" s="2"/>
      <c r="S171" s="2"/>
      <c r="T171" s="2"/>
      <c r="U171" s="2"/>
      <c r="V171" s="2"/>
      <c r="W171" s="2"/>
      <c r="X171" s="2"/>
      <c r="Y171" s="2"/>
    </row>
    <row r="172" spans="1:25" ht="13.2" x14ac:dyDescent="0.25">
      <c r="A172" s="79"/>
      <c r="B172" s="46">
        <v>99</v>
      </c>
      <c r="C172" s="47">
        <f t="shared" si="14"/>
        <v>5.0004339555824702</v>
      </c>
      <c r="D172" s="48">
        <f t="shared" si="15"/>
        <v>0</v>
      </c>
      <c r="E172" s="48" t="str">
        <f t="shared" si="16"/>
        <v/>
      </c>
      <c r="F172" s="48" t="str">
        <f t="shared" si="18"/>
        <v/>
      </c>
      <c r="G172" s="48" t="str">
        <f t="shared" si="19"/>
        <v/>
      </c>
      <c r="H172" s="48" t="str">
        <f t="shared" si="20"/>
        <v/>
      </c>
      <c r="I172" s="48" t="str">
        <f t="shared" si="21"/>
        <v/>
      </c>
      <c r="J172" s="48" t="str">
        <f t="shared" si="22"/>
        <v/>
      </c>
      <c r="K172" s="48" t="str">
        <f t="shared" si="23"/>
        <v/>
      </c>
      <c r="L172" s="48" t="str">
        <f t="shared" si="24"/>
        <v/>
      </c>
      <c r="M172" s="48" t="str">
        <f t="shared" si="25"/>
        <v/>
      </c>
      <c r="N172" s="48" t="str">
        <f t="shared" si="26"/>
        <v/>
      </c>
      <c r="O172" s="48" t="str">
        <f t="shared" si="27"/>
        <v/>
      </c>
      <c r="P172" s="48" t="str">
        <f t="shared" si="28"/>
        <v/>
      </c>
      <c r="Q172" s="45">
        <f t="shared" si="17"/>
        <v>0</v>
      </c>
      <c r="R172" s="2"/>
      <c r="S172" s="2"/>
      <c r="T172" s="2"/>
      <c r="U172" s="2"/>
      <c r="V172" s="2"/>
      <c r="W172" s="2"/>
      <c r="X172" s="2"/>
      <c r="Y172" s="2"/>
    </row>
    <row r="173" spans="1:25" ht="13.2" x14ac:dyDescent="0.25">
      <c r="B173" s="50"/>
    </row>
    <row r="174" spans="1:25" ht="13.2" x14ac:dyDescent="0.25">
      <c r="B174" s="50"/>
    </row>
    <row r="175" spans="1:25" ht="13.2" x14ac:dyDescent="0.25">
      <c r="B175" s="50"/>
    </row>
    <row r="176" spans="1:25" ht="13.2" x14ac:dyDescent="0.25">
      <c r="B176" s="50"/>
    </row>
    <row r="177" spans="2:2" ht="13.2" x14ac:dyDescent="0.25">
      <c r="B177" s="50"/>
    </row>
    <row r="178" spans="2:2" ht="13.2" x14ac:dyDescent="0.25">
      <c r="B178" s="50"/>
    </row>
    <row r="179" spans="2:2" ht="13.2" x14ac:dyDescent="0.25">
      <c r="B179" s="50"/>
    </row>
    <row r="180" spans="2:2" ht="13.2" x14ac:dyDescent="0.25">
      <c r="B180" s="50"/>
    </row>
    <row r="181" spans="2:2" ht="13.2" x14ac:dyDescent="0.25">
      <c r="B181" s="50"/>
    </row>
    <row r="182" spans="2:2" ht="13.2" x14ac:dyDescent="0.25">
      <c r="B182" s="50"/>
    </row>
    <row r="183" spans="2:2" ht="13.2" x14ac:dyDescent="0.25">
      <c r="B183" s="50"/>
    </row>
    <row r="184" spans="2:2" ht="13.2" x14ac:dyDescent="0.25">
      <c r="B184" s="50"/>
    </row>
    <row r="185" spans="2:2" ht="13.2" x14ac:dyDescent="0.25">
      <c r="B185" s="50"/>
    </row>
    <row r="186" spans="2:2" ht="13.2" x14ac:dyDescent="0.25">
      <c r="B186" s="50"/>
    </row>
    <row r="187" spans="2:2" ht="13.2" x14ac:dyDescent="0.25">
      <c r="B187" s="50"/>
    </row>
    <row r="188" spans="2:2" ht="13.2" x14ac:dyDescent="0.25">
      <c r="B188" s="50"/>
    </row>
    <row r="189" spans="2:2" ht="13.2" x14ac:dyDescent="0.25">
      <c r="B189" s="50"/>
    </row>
    <row r="190" spans="2:2" ht="13.2" x14ac:dyDescent="0.25">
      <c r="B190" s="50"/>
    </row>
    <row r="191" spans="2:2" ht="13.2" x14ac:dyDescent="0.25">
      <c r="B191" s="50"/>
    </row>
    <row r="192" spans="2:2" ht="13.2" x14ac:dyDescent="0.25">
      <c r="B192" s="50"/>
    </row>
    <row r="193" spans="2:2" ht="13.2" x14ac:dyDescent="0.25">
      <c r="B193" s="50"/>
    </row>
    <row r="194" spans="2:2" ht="13.2" x14ac:dyDescent="0.25">
      <c r="B194" s="50"/>
    </row>
    <row r="195" spans="2:2" ht="13.2" x14ac:dyDescent="0.25">
      <c r="B195" s="50"/>
    </row>
    <row r="196" spans="2:2" ht="13.2" x14ac:dyDescent="0.25">
      <c r="B196" s="50"/>
    </row>
    <row r="197" spans="2:2" ht="13.2" x14ac:dyDescent="0.25">
      <c r="B197" s="50"/>
    </row>
    <row r="198" spans="2:2" ht="13.2" x14ac:dyDescent="0.25">
      <c r="B198" s="50"/>
    </row>
    <row r="199" spans="2:2" ht="13.2" x14ac:dyDescent="0.25">
      <c r="B199" s="50"/>
    </row>
    <row r="200" spans="2:2" ht="13.2" x14ac:dyDescent="0.25">
      <c r="B200" s="50"/>
    </row>
    <row r="201" spans="2:2" ht="13.2" x14ac:dyDescent="0.25">
      <c r="B201" s="50"/>
    </row>
    <row r="202" spans="2:2" ht="13.2" x14ac:dyDescent="0.25">
      <c r="B202" s="50"/>
    </row>
    <row r="203" spans="2:2" ht="13.2" x14ac:dyDescent="0.25">
      <c r="B203" s="50"/>
    </row>
    <row r="204" spans="2:2" ht="13.2" x14ac:dyDescent="0.25">
      <c r="B204" s="50"/>
    </row>
    <row r="205" spans="2:2" ht="13.2" x14ac:dyDescent="0.25">
      <c r="B205" s="50"/>
    </row>
    <row r="206" spans="2:2" ht="13.2" x14ac:dyDescent="0.25">
      <c r="B206" s="50"/>
    </row>
    <row r="207" spans="2:2" ht="13.2" x14ac:dyDescent="0.25">
      <c r="B207" s="50"/>
    </row>
    <row r="208" spans="2:2" ht="13.2" x14ac:dyDescent="0.25">
      <c r="B208" s="50"/>
    </row>
    <row r="209" spans="2:2" ht="13.2" x14ac:dyDescent="0.25">
      <c r="B209" s="50"/>
    </row>
    <row r="210" spans="2:2" ht="13.2" x14ac:dyDescent="0.25">
      <c r="B210" s="50"/>
    </row>
    <row r="211" spans="2:2" ht="13.2" x14ac:dyDescent="0.25">
      <c r="B211" s="50"/>
    </row>
    <row r="212" spans="2:2" ht="13.2" x14ac:dyDescent="0.25">
      <c r="B212" s="50"/>
    </row>
    <row r="213" spans="2:2" ht="13.2" x14ac:dyDescent="0.25">
      <c r="B213" s="50"/>
    </row>
    <row r="214" spans="2:2" ht="13.2" x14ac:dyDescent="0.25">
      <c r="B214" s="50"/>
    </row>
    <row r="215" spans="2:2" ht="13.2" x14ac:dyDescent="0.25">
      <c r="B215" s="50"/>
    </row>
    <row r="216" spans="2:2" ht="13.2" x14ac:dyDescent="0.25">
      <c r="B216" s="50"/>
    </row>
    <row r="217" spans="2:2" ht="13.2" x14ac:dyDescent="0.25">
      <c r="B217" s="50"/>
    </row>
    <row r="218" spans="2:2" ht="13.2" x14ac:dyDescent="0.25">
      <c r="B218" s="50"/>
    </row>
    <row r="219" spans="2:2" ht="13.2" x14ac:dyDescent="0.25">
      <c r="B219" s="50"/>
    </row>
    <row r="220" spans="2:2" ht="13.2" x14ac:dyDescent="0.25">
      <c r="B220" s="50"/>
    </row>
    <row r="221" spans="2:2" ht="13.2" x14ac:dyDescent="0.25">
      <c r="B221" s="50"/>
    </row>
    <row r="222" spans="2:2" ht="13.2" x14ac:dyDescent="0.25">
      <c r="B222" s="50"/>
    </row>
    <row r="223" spans="2:2" ht="13.2" x14ac:dyDescent="0.25">
      <c r="B223" s="50"/>
    </row>
    <row r="224" spans="2:2" ht="13.2" x14ac:dyDescent="0.25">
      <c r="B224" s="50"/>
    </row>
    <row r="225" spans="2:2" ht="13.2" x14ac:dyDescent="0.25">
      <c r="B225" s="50"/>
    </row>
    <row r="226" spans="2:2" ht="13.2" x14ac:dyDescent="0.25">
      <c r="B226" s="50"/>
    </row>
    <row r="227" spans="2:2" ht="13.2" x14ac:dyDescent="0.25">
      <c r="B227" s="50"/>
    </row>
    <row r="228" spans="2:2" ht="13.2" x14ac:dyDescent="0.25">
      <c r="B228" s="50"/>
    </row>
    <row r="229" spans="2:2" ht="13.2" x14ac:dyDescent="0.25">
      <c r="B229" s="50"/>
    </row>
    <row r="230" spans="2:2" ht="13.2" x14ac:dyDescent="0.25">
      <c r="B230" s="50"/>
    </row>
    <row r="231" spans="2:2" ht="13.2" x14ac:dyDescent="0.25">
      <c r="B231" s="50"/>
    </row>
    <row r="232" spans="2:2" ht="13.2" x14ac:dyDescent="0.25">
      <c r="B232" s="50"/>
    </row>
    <row r="233" spans="2:2" ht="13.2" x14ac:dyDescent="0.25">
      <c r="B233" s="50"/>
    </row>
    <row r="234" spans="2:2" ht="13.2" x14ac:dyDescent="0.25">
      <c r="B234" s="50"/>
    </row>
    <row r="235" spans="2:2" ht="13.2" x14ac:dyDescent="0.25">
      <c r="B235" s="50"/>
    </row>
    <row r="236" spans="2:2" ht="13.2" x14ac:dyDescent="0.25">
      <c r="B236" s="50"/>
    </row>
    <row r="237" spans="2:2" ht="13.2" x14ac:dyDescent="0.25">
      <c r="B237" s="50"/>
    </row>
    <row r="238" spans="2:2" ht="13.2" x14ac:dyDescent="0.25">
      <c r="B238" s="50"/>
    </row>
    <row r="239" spans="2:2" ht="13.2" x14ac:dyDescent="0.25">
      <c r="B239" s="50"/>
    </row>
    <row r="240" spans="2:2" ht="13.2" x14ac:dyDescent="0.25">
      <c r="B240" s="50"/>
    </row>
    <row r="241" spans="2:2" ht="13.2" x14ac:dyDescent="0.25">
      <c r="B241" s="50"/>
    </row>
    <row r="242" spans="2:2" ht="13.2" x14ac:dyDescent="0.25">
      <c r="B242" s="50"/>
    </row>
    <row r="243" spans="2:2" ht="13.2" x14ac:dyDescent="0.25">
      <c r="B243" s="50"/>
    </row>
    <row r="244" spans="2:2" ht="13.2" x14ac:dyDescent="0.25">
      <c r="B244" s="50"/>
    </row>
    <row r="245" spans="2:2" ht="13.2" x14ac:dyDescent="0.25">
      <c r="B245" s="50"/>
    </row>
    <row r="246" spans="2:2" ht="13.2" x14ac:dyDescent="0.25">
      <c r="B246" s="50"/>
    </row>
    <row r="247" spans="2:2" ht="13.2" x14ac:dyDescent="0.25">
      <c r="B247" s="50"/>
    </row>
    <row r="248" spans="2:2" ht="13.2" x14ac:dyDescent="0.25">
      <c r="B248" s="50"/>
    </row>
    <row r="249" spans="2:2" ht="13.2" x14ac:dyDescent="0.25">
      <c r="B249" s="50"/>
    </row>
    <row r="250" spans="2:2" ht="13.2" x14ac:dyDescent="0.25">
      <c r="B250" s="50"/>
    </row>
    <row r="251" spans="2:2" ht="13.2" x14ac:dyDescent="0.25">
      <c r="B251" s="50"/>
    </row>
    <row r="252" spans="2:2" ht="13.2" x14ac:dyDescent="0.25">
      <c r="B252" s="50"/>
    </row>
    <row r="253" spans="2:2" ht="13.2" x14ac:dyDescent="0.25">
      <c r="B253" s="50"/>
    </row>
    <row r="254" spans="2:2" ht="13.2" x14ac:dyDescent="0.25">
      <c r="B254" s="50"/>
    </row>
    <row r="255" spans="2:2" ht="13.2" x14ac:dyDescent="0.25">
      <c r="B255" s="50"/>
    </row>
    <row r="256" spans="2:2" ht="13.2" x14ac:dyDescent="0.25">
      <c r="B256" s="50"/>
    </row>
    <row r="257" spans="2:2" ht="13.2" x14ac:dyDescent="0.25">
      <c r="B257" s="50"/>
    </row>
    <row r="258" spans="2:2" ht="13.2" x14ac:dyDescent="0.25">
      <c r="B258" s="50"/>
    </row>
    <row r="259" spans="2:2" ht="13.2" x14ac:dyDescent="0.25">
      <c r="B259" s="50"/>
    </row>
    <row r="260" spans="2:2" ht="13.2" x14ac:dyDescent="0.25">
      <c r="B260" s="50"/>
    </row>
    <row r="261" spans="2:2" ht="13.2" x14ac:dyDescent="0.25">
      <c r="B261" s="50"/>
    </row>
    <row r="262" spans="2:2" ht="13.2" x14ac:dyDescent="0.25">
      <c r="B262" s="50"/>
    </row>
    <row r="263" spans="2:2" ht="13.2" x14ac:dyDescent="0.25">
      <c r="B263" s="50"/>
    </row>
    <row r="264" spans="2:2" ht="13.2" x14ac:dyDescent="0.25">
      <c r="B264" s="50"/>
    </row>
    <row r="265" spans="2:2" ht="13.2" x14ac:dyDescent="0.25">
      <c r="B265" s="50"/>
    </row>
    <row r="266" spans="2:2" ht="13.2" x14ac:dyDescent="0.25">
      <c r="B266" s="50"/>
    </row>
    <row r="267" spans="2:2" ht="13.2" x14ac:dyDescent="0.25">
      <c r="B267" s="50"/>
    </row>
    <row r="268" spans="2:2" ht="13.2" x14ac:dyDescent="0.25">
      <c r="B268" s="50"/>
    </row>
    <row r="269" spans="2:2" ht="13.2" x14ac:dyDescent="0.25">
      <c r="B269" s="50"/>
    </row>
    <row r="270" spans="2:2" ht="13.2" x14ac:dyDescent="0.25">
      <c r="B270" s="50"/>
    </row>
    <row r="271" spans="2:2" ht="13.2" x14ac:dyDescent="0.25">
      <c r="B271" s="50"/>
    </row>
    <row r="272" spans="2:2" ht="13.2" x14ac:dyDescent="0.25">
      <c r="B272" s="50"/>
    </row>
    <row r="273" spans="2:2" ht="13.2" x14ac:dyDescent="0.25">
      <c r="B273" s="50"/>
    </row>
    <row r="274" spans="2:2" ht="13.2" x14ac:dyDescent="0.25">
      <c r="B274" s="50"/>
    </row>
    <row r="275" spans="2:2" ht="13.2" x14ac:dyDescent="0.25">
      <c r="B275" s="50"/>
    </row>
    <row r="276" spans="2:2" ht="13.2" x14ac:dyDescent="0.25">
      <c r="B276" s="50"/>
    </row>
    <row r="277" spans="2:2" ht="13.2" x14ac:dyDescent="0.25">
      <c r="B277" s="50"/>
    </row>
    <row r="278" spans="2:2" ht="13.2" x14ac:dyDescent="0.25">
      <c r="B278" s="50"/>
    </row>
    <row r="279" spans="2:2" ht="13.2" x14ac:dyDescent="0.25">
      <c r="B279" s="50"/>
    </row>
    <row r="280" spans="2:2" ht="13.2" x14ac:dyDescent="0.25">
      <c r="B280" s="50"/>
    </row>
    <row r="281" spans="2:2" ht="13.2" x14ac:dyDescent="0.25">
      <c r="B281" s="50"/>
    </row>
    <row r="282" spans="2:2" ht="13.2" x14ac:dyDescent="0.25">
      <c r="B282" s="50"/>
    </row>
    <row r="283" spans="2:2" ht="13.2" x14ac:dyDescent="0.25">
      <c r="B283" s="50"/>
    </row>
    <row r="284" spans="2:2" ht="13.2" x14ac:dyDescent="0.25">
      <c r="B284" s="50"/>
    </row>
    <row r="285" spans="2:2" ht="13.2" x14ac:dyDescent="0.25">
      <c r="B285" s="50"/>
    </row>
    <row r="286" spans="2:2" ht="13.2" x14ac:dyDescent="0.25">
      <c r="B286" s="50"/>
    </row>
    <row r="287" spans="2:2" ht="13.2" x14ac:dyDescent="0.25">
      <c r="B287" s="50"/>
    </row>
    <row r="288" spans="2:2" ht="13.2" x14ac:dyDescent="0.25">
      <c r="B288" s="50"/>
    </row>
    <row r="289" spans="2:2" ht="13.2" x14ac:dyDescent="0.25">
      <c r="B289" s="50"/>
    </row>
    <row r="290" spans="2:2" ht="13.2" x14ac:dyDescent="0.25">
      <c r="B290" s="50"/>
    </row>
    <row r="291" spans="2:2" ht="13.2" x14ac:dyDescent="0.25">
      <c r="B291" s="50"/>
    </row>
    <row r="292" spans="2:2" ht="13.2" x14ac:dyDescent="0.25">
      <c r="B292" s="50"/>
    </row>
    <row r="293" spans="2:2" ht="13.2" x14ac:dyDescent="0.25">
      <c r="B293" s="50"/>
    </row>
    <row r="294" spans="2:2" ht="13.2" x14ac:dyDescent="0.25">
      <c r="B294" s="50"/>
    </row>
    <row r="295" spans="2:2" ht="13.2" x14ac:dyDescent="0.25">
      <c r="B295" s="50"/>
    </row>
    <row r="296" spans="2:2" ht="13.2" x14ac:dyDescent="0.25">
      <c r="B296" s="50"/>
    </row>
    <row r="297" spans="2:2" ht="13.2" x14ac:dyDescent="0.25">
      <c r="B297" s="50"/>
    </row>
    <row r="298" spans="2:2" ht="13.2" x14ac:dyDescent="0.25">
      <c r="B298" s="50"/>
    </row>
    <row r="299" spans="2:2" ht="13.2" x14ac:dyDescent="0.25">
      <c r="B299" s="50"/>
    </row>
    <row r="300" spans="2:2" ht="13.2" x14ac:dyDescent="0.25">
      <c r="B300" s="50"/>
    </row>
    <row r="301" spans="2:2" ht="13.2" x14ac:dyDescent="0.25">
      <c r="B301" s="50"/>
    </row>
    <row r="302" spans="2:2" ht="13.2" x14ac:dyDescent="0.25">
      <c r="B302" s="50"/>
    </row>
    <row r="303" spans="2:2" ht="13.2" x14ac:dyDescent="0.25">
      <c r="B303" s="50"/>
    </row>
    <row r="304" spans="2:2" ht="13.2" x14ac:dyDescent="0.25">
      <c r="B304" s="50"/>
    </row>
    <row r="305" spans="2:2" ht="13.2" x14ac:dyDescent="0.25">
      <c r="B305" s="50"/>
    </row>
    <row r="306" spans="2:2" ht="13.2" x14ac:dyDescent="0.25">
      <c r="B306" s="50"/>
    </row>
    <row r="307" spans="2:2" ht="13.2" x14ac:dyDescent="0.25">
      <c r="B307" s="50"/>
    </row>
    <row r="308" spans="2:2" ht="13.2" x14ac:dyDescent="0.25">
      <c r="B308" s="50"/>
    </row>
    <row r="309" spans="2:2" ht="13.2" x14ac:dyDescent="0.25">
      <c r="B309" s="50"/>
    </row>
    <row r="310" spans="2:2" ht="13.2" x14ac:dyDescent="0.25">
      <c r="B310" s="50"/>
    </row>
    <row r="311" spans="2:2" ht="13.2" x14ac:dyDescent="0.25">
      <c r="B311" s="50"/>
    </row>
    <row r="312" spans="2:2" ht="13.2" x14ac:dyDescent="0.25">
      <c r="B312" s="50"/>
    </row>
    <row r="313" spans="2:2" ht="13.2" x14ac:dyDescent="0.25">
      <c r="B313" s="50"/>
    </row>
    <row r="314" spans="2:2" ht="13.2" x14ac:dyDescent="0.25">
      <c r="B314" s="50"/>
    </row>
    <row r="315" spans="2:2" ht="13.2" x14ac:dyDescent="0.25">
      <c r="B315" s="50"/>
    </row>
    <row r="316" spans="2:2" ht="13.2" x14ac:dyDescent="0.25">
      <c r="B316" s="50"/>
    </row>
    <row r="317" spans="2:2" ht="13.2" x14ac:dyDescent="0.25">
      <c r="B317" s="50"/>
    </row>
    <row r="318" spans="2:2" ht="13.2" x14ac:dyDescent="0.25">
      <c r="B318" s="50"/>
    </row>
    <row r="319" spans="2:2" ht="13.2" x14ac:dyDescent="0.25">
      <c r="B319" s="50"/>
    </row>
    <row r="320" spans="2:2" ht="13.2" x14ac:dyDescent="0.25">
      <c r="B320" s="50"/>
    </row>
    <row r="321" spans="2:2" ht="13.2" x14ac:dyDescent="0.25">
      <c r="B321" s="50"/>
    </row>
    <row r="322" spans="2:2" ht="13.2" x14ac:dyDescent="0.25">
      <c r="B322" s="50"/>
    </row>
    <row r="323" spans="2:2" ht="13.2" x14ac:dyDescent="0.25">
      <c r="B323" s="50"/>
    </row>
    <row r="324" spans="2:2" ht="13.2" x14ac:dyDescent="0.25">
      <c r="B324" s="50"/>
    </row>
    <row r="325" spans="2:2" ht="13.2" x14ac:dyDescent="0.25">
      <c r="B325" s="50"/>
    </row>
    <row r="326" spans="2:2" ht="13.2" x14ac:dyDescent="0.25">
      <c r="B326" s="50"/>
    </row>
    <row r="327" spans="2:2" ht="13.2" x14ac:dyDescent="0.25">
      <c r="B327" s="50"/>
    </row>
    <row r="328" spans="2:2" ht="13.2" x14ac:dyDescent="0.25">
      <c r="B328" s="50"/>
    </row>
    <row r="329" spans="2:2" ht="13.2" x14ac:dyDescent="0.25">
      <c r="B329" s="50"/>
    </row>
    <row r="330" spans="2:2" ht="13.2" x14ac:dyDescent="0.25">
      <c r="B330" s="50"/>
    </row>
    <row r="331" spans="2:2" ht="13.2" x14ac:dyDescent="0.25">
      <c r="B331" s="50"/>
    </row>
    <row r="332" spans="2:2" ht="13.2" x14ac:dyDescent="0.25">
      <c r="B332" s="50"/>
    </row>
    <row r="333" spans="2:2" ht="13.2" x14ac:dyDescent="0.25">
      <c r="B333" s="50"/>
    </row>
    <row r="334" spans="2:2" ht="13.2" x14ac:dyDescent="0.25">
      <c r="B334" s="50"/>
    </row>
    <row r="335" spans="2:2" ht="13.2" x14ac:dyDescent="0.25">
      <c r="B335" s="50"/>
    </row>
    <row r="336" spans="2:2" ht="13.2" x14ac:dyDescent="0.25">
      <c r="B336" s="50"/>
    </row>
    <row r="337" spans="2:2" ht="13.2" x14ac:dyDescent="0.25">
      <c r="B337" s="50"/>
    </row>
    <row r="338" spans="2:2" ht="13.2" x14ac:dyDescent="0.25">
      <c r="B338" s="50"/>
    </row>
    <row r="339" spans="2:2" ht="13.2" x14ac:dyDescent="0.25">
      <c r="B339" s="50"/>
    </row>
    <row r="340" spans="2:2" ht="13.2" x14ac:dyDescent="0.25">
      <c r="B340" s="50"/>
    </row>
    <row r="341" spans="2:2" ht="13.2" x14ac:dyDescent="0.25">
      <c r="B341" s="50"/>
    </row>
    <row r="342" spans="2:2" ht="13.2" x14ac:dyDescent="0.25">
      <c r="B342" s="50"/>
    </row>
    <row r="343" spans="2:2" ht="13.2" x14ac:dyDescent="0.25">
      <c r="B343" s="50"/>
    </row>
    <row r="344" spans="2:2" ht="13.2" x14ac:dyDescent="0.25">
      <c r="B344" s="50"/>
    </row>
    <row r="345" spans="2:2" ht="13.2" x14ac:dyDescent="0.25">
      <c r="B345" s="50"/>
    </row>
    <row r="346" spans="2:2" ht="13.2" x14ac:dyDescent="0.25">
      <c r="B346" s="50"/>
    </row>
    <row r="347" spans="2:2" ht="13.2" x14ac:dyDescent="0.25">
      <c r="B347" s="50"/>
    </row>
    <row r="348" spans="2:2" ht="13.2" x14ac:dyDescent="0.25">
      <c r="B348" s="50"/>
    </row>
    <row r="349" spans="2:2" ht="13.2" x14ac:dyDescent="0.25">
      <c r="B349" s="50"/>
    </row>
    <row r="350" spans="2:2" ht="13.2" x14ac:dyDescent="0.25">
      <c r="B350" s="50"/>
    </row>
    <row r="351" spans="2:2" ht="13.2" x14ac:dyDescent="0.25">
      <c r="B351" s="50"/>
    </row>
    <row r="352" spans="2:2" ht="13.2" x14ac:dyDescent="0.25">
      <c r="B352" s="50"/>
    </row>
    <row r="353" spans="2:2" ht="13.2" x14ac:dyDescent="0.25">
      <c r="B353" s="50"/>
    </row>
    <row r="354" spans="2:2" ht="13.2" x14ac:dyDescent="0.25">
      <c r="B354" s="50"/>
    </row>
    <row r="355" spans="2:2" ht="13.2" x14ac:dyDescent="0.25">
      <c r="B355" s="50"/>
    </row>
    <row r="356" spans="2:2" ht="13.2" x14ac:dyDescent="0.25">
      <c r="B356" s="50"/>
    </row>
    <row r="357" spans="2:2" ht="13.2" x14ac:dyDescent="0.25">
      <c r="B357" s="50"/>
    </row>
    <row r="358" spans="2:2" ht="13.2" x14ac:dyDescent="0.25">
      <c r="B358" s="50"/>
    </row>
    <row r="359" spans="2:2" ht="13.2" x14ac:dyDescent="0.25">
      <c r="B359" s="50"/>
    </row>
    <row r="360" spans="2:2" ht="13.2" x14ac:dyDescent="0.25">
      <c r="B360" s="50"/>
    </row>
    <row r="361" spans="2:2" ht="13.2" x14ac:dyDescent="0.25">
      <c r="B361" s="50"/>
    </row>
    <row r="362" spans="2:2" ht="13.2" x14ac:dyDescent="0.25">
      <c r="B362" s="50"/>
    </row>
    <row r="363" spans="2:2" ht="13.2" x14ac:dyDescent="0.25">
      <c r="B363" s="50"/>
    </row>
    <row r="364" spans="2:2" ht="13.2" x14ac:dyDescent="0.25">
      <c r="B364" s="50"/>
    </row>
    <row r="365" spans="2:2" ht="13.2" x14ac:dyDescent="0.25">
      <c r="B365" s="50"/>
    </row>
    <row r="366" spans="2:2" ht="13.2" x14ac:dyDescent="0.25">
      <c r="B366" s="50"/>
    </row>
    <row r="367" spans="2:2" ht="13.2" x14ac:dyDescent="0.25">
      <c r="B367" s="50"/>
    </row>
    <row r="368" spans="2:2" ht="13.2" x14ac:dyDescent="0.25">
      <c r="B368" s="50"/>
    </row>
    <row r="369" spans="2:2" ht="13.2" x14ac:dyDescent="0.25">
      <c r="B369" s="50"/>
    </row>
    <row r="370" spans="2:2" ht="13.2" x14ac:dyDescent="0.25">
      <c r="B370" s="50"/>
    </row>
    <row r="371" spans="2:2" ht="13.2" x14ac:dyDescent="0.25">
      <c r="B371" s="50"/>
    </row>
    <row r="372" spans="2:2" ht="13.2" x14ac:dyDescent="0.25">
      <c r="B372" s="50"/>
    </row>
    <row r="373" spans="2:2" ht="13.2" x14ac:dyDescent="0.25">
      <c r="B373" s="50"/>
    </row>
    <row r="374" spans="2:2" ht="13.2" x14ac:dyDescent="0.25">
      <c r="B374" s="50"/>
    </row>
    <row r="375" spans="2:2" ht="13.2" x14ac:dyDescent="0.25">
      <c r="B375" s="50"/>
    </row>
    <row r="376" spans="2:2" ht="13.2" x14ac:dyDescent="0.25">
      <c r="B376" s="50"/>
    </row>
    <row r="377" spans="2:2" ht="13.2" x14ac:dyDescent="0.25">
      <c r="B377" s="50"/>
    </row>
    <row r="378" spans="2:2" ht="13.2" x14ac:dyDescent="0.25">
      <c r="B378" s="50"/>
    </row>
    <row r="379" spans="2:2" ht="13.2" x14ac:dyDescent="0.25">
      <c r="B379" s="50"/>
    </row>
    <row r="380" spans="2:2" ht="13.2" x14ac:dyDescent="0.25">
      <c r="B380" s="50"/>
    </row>
    <row r="381" spans="2:2" ht="13.2" x14ac:dyDescent="0.25">
      <c r="B381" s="50"/>
    </row>
    <row r="382" spans="2:2" ht="13.2" x14ac:dyDescent="0.25">
      <c r="B382" s="50"/>
    </row>
    <row r="383" spans="2:2" ht="13.2" x14ac:dyDescent="0.25">
      <c r="B383" s="50"/>
    </row>
    <row r="384" spans="2:2" ht="13.2" x14ac:dyDescent="0.25">
      <c r="B384" s="50"/>
    </row>
    <row r="385" spans="2:2" ht="13.2" x14ac:dyDescent="0.25">
      <c r="B385" s="50"/>
    </row>
    <row r="386" spans="2:2" ht="13.2" x14ac:dyDescent="0.25">
      <c r="B386" s="50"/>
    </row>
    <row r="387" spans="2:2" ht="13.2" x14ac:dyDescent="0.25">
      <c r="B387" s="50"/>
    </row>
    <row r="388" spans="2:2" ht="13.2" x14ac:dyDescent="0.25">
      <c r="B388" s="50"/>
    </row>
    <row r="389" spans="2:2" ht="13.2" x14ac:dyDescent="0.25">
      <c r="B389" s="50"/>
    </row>
    <row r="390" spans="2:2" ht="13.2" x14ac:dyDescent="0.25">
      <c r="B390" s="50"/>
    </row>
    <row r="391" spans="2:2" ht="13.2" x14ac:dyDescent="0.25">
      <c r="B391" s="50"/>
    </row>
    <row r="392" spans="2:2" ht="13.2" x14ac:dyDescent="0.25">
      <c r="B392" s="50"/>
    </row>
    <row r="393" spans="2:2" ht="13.2" x14ac:dyDescent="0.25">
      <c r="B393" s="50"/>
    </row>
    <row r="394" spans="2:2" ht="13.2" x14ac:dyDescent="0.25">
      <c r="B394" s="50"/>
    </row>
    <row r="395" spans="2:2" ht="13.2" x14ac:dyDescent="0.25">
      <c r="B395" s="50"/>
    </row>
    <row r="396" spans="2:2" ht="13.2" x14ac:dyDescent="0.25">
      <c r="B396" s="50"/>
    </row>
    <row r="397" spans="2:2" ht="13.2" x14ac:dyDescent="0.25">
      <c r="B397" s="50"/>
    </row>
    <row r="398" spans="2:2" ht="13.2" x14ac:dyDescent="0.25">
      <c r="B398" s="50"/>
    </row>
    <row r="399" spans="2:2" ht="13.2" x14ac:dyDescent="0.25">
      <c r="B399" s="50"/>
    </row>
    <row r="400" spans="2:2" ht="13.2" x14ac:dyDescent="0.25">
      <c r="B400" s="50"/>
    </row>
    <row r="401" spans="2:2" ht="13.2" x14ac:dyDescent="0.25">
      <c r="B401" s="50"/>
    </row>
    <row r="402" spans="2:2" ht="13.2" x14ac:dyDescent="0.25">
      <c r="B402" s="50"/>
    </row>
    <row r="403" spans="2:2" ht="13.2" x14ac:dyDescent="0.25">
      <c r="B403" s="50"/>
    </row>
    <row r="404" spans="2:2" ht="13.2" x14ac:dyDescent="0.25">
      <c r="B404" s="50"/>
    </row>
    <row r="405" spans="2:2" ht="13.2" x14ac:dyDescent="0.25">
      <c r="B405" s="50"/>
    </row>
    <row r="406" spans="2:2" ht="13.2" x14ac:dyDescent="0.25">
      <c r="B406" s="50"/>
    </row>
    <row r="407" spans="2:2" ht="13.2" x14ac:dyDescent="0.25">
      <c r="B407" s="50"/>
    </row>
    <row r="408" spans="2:2" ht="13.2" x14ac:dyDescent="0.25">
      <c r="B408" s="50"/>
    </row>
    <row r="409" spans="2:2" ht="13.2" x14ac:dyDescent="0.25">
      <c r="B409" s="50"/>
    </row>
    <row r="410" spans="2:2" ht="13.2" x14ac:dyDescent="0.25">
      <c r="B410" s="50"/>
    </row>
    <row r="411" spans="2:2" ht="13.2" x14ac:dyDescent="0.25">
      <c r="B411" s="50"/>
    </row>
    <row r="412" spans="2:2" ht="13.2" x14ac:dyDescent="0.25">
      <c r="B412" s="50"/>
    </row>
    <row r="413" spans="2:2" ht="13.2" x14ac:dyDescent="0.25">
      <c r="B413" s="50"/>
    </row>
    <row r="414" spans="2:2" ht="13.2" x14ac:dyDescent="0.25">
      <c r="B414" s="50"/>
    </row>
    <row r="415" spans="2:2" ht="13.2" x14ac:dyDescent="0.25">
      <c r="B415" s="50"/>
    </row>
    <row r="416" spans="2:2" ht="13.2" x14ac:dyDescent="0.25">
      <c r="B416" s="50"/>
    </row>
    <row r="417" spans="2:2" ht="13.2" x14ac:dyDescent="0.25">
      <c r="B417" s="50"/>
    </row>
    <row r="418" spans="2:2" ht="13.2" x14ac:dyDescent="0.25">
      <c r="B418" s="50"/>
    </row>
    <row r="419" spans="2:2" ht="13.2" x14ac:dyDescent="0.25">
      <c r="B419" s="50"/>
    </row>
    <row r="420" spans="2:2" ht="13.2" x14ac:dyDescent="0.25">
      <c r="B420" s="50"/>
    </row>
    <row r="421" spans="2:2" ht="13.2" x14ac:dyDescent="0.25">
      <c r="B421" s="50"/>
    </row>
    <row r="422" spans="2:2" ht="13.2" x14ac:dyDescent="0.25">
      <c r="B422" s="50"/>
    </row>
    <row r="423" spans="2:2" ht="13.2" x14ac:dyDescent="0.25">
      <c r="B423" s="50"/>
    </row>
    <row r="424" spans="2:2" ht="13.2" x14ac:dyDescent="0.25">
      <c r="B424" s="50"/>
    </row>
    <row r="425" spans="2:2" ht="13.2" x14ac:dyDescent="0.25">
      <c r="B425" s="50"/>
    </row>
    <row r="426" spans="2:2" ht="13.2" x14ac:dyDescent="0.25">
      <c r="B426" s="50"/>
    </row>
    <row r="427" spans="2:2" ht="13.2" x14ac:dyDescent="0.25">
      <c r="B427" s="50"/>
    </row>
    <row r="428" spans="2:2" ht="13.2" x14ac:dyDescent="0.25">
      <c r="B428" s="50"/>
    </row>
    <row r="429" spans="2:2" ht="13.2" x14ac:dyDescent="0.25">
      <c r="B429" s="50"/>
    </row>
    <row r="430" spans="2:2" ht="13.2" x14ac:dyDescent="0.25">
      <c r="B430" s="50"/>
    </row>
    <row r="431" spans="2:2" ht="13.2" x14ac:dyDescent="0.25">
      <c r="B431" s="50"/>
    </row>
    <row r="432" spans="2:2" ht="13.2" x14ac:dyDescent="0.25">
      <c r="B432" s="50"/>
    </row>
    <row r="433" spans="2:2" ht="13.2" x14ac:dyDescent="0.25">
      <c r="B433" s="50"/>
    </row>
    <row r="434" spans="2:2" ht="13.2" x14ac:dyDescent="0.25">
      <c r="B434" s="50"/>
    </row>
    <row r="435" spans="2:2" ht="13.2" x14ac:dyDescent="0.25">
      <c r="B435" s="50"/>
    </row>
    <row r="436" spans="2:2" ht="13.2" x14ac:dyDescent="0.25">
      <c r="B436" s="50"/>
    </row>
    <row r="437" spans="2:2" ht="13.2" x14ac:dyDescent="0.25">
      <c r="B437" s="50"/>
    </row>
    <row r="438" spans="2:2" ht="13.2" x14ac:dyDescent="0.25">
      <c r="B438" s="50"/>
    </row>
    <row r="439" spans="2:2" ht="13.2" x14ac:dyDescent="0.25">
      <c r="B439" s="50"/>
    </row>
    <row r="440" spans="2:2" ht="13.2" x14ac:dyDescent="0.25">
      <c r="B440" s="50"/>
    </row>
    <row r="441" spans="2:2" ht="13.2" x14ac:dyDescent="0.25">
      <c r="B441" s="50"/>
    </row>
    <row r="442" spans="2:2" ht="13.2" x14ac:dyDescent="0.25">
      <c r="B442" s="50"/>
    </row>
    <row r="443" spans="2:2" ht="13.2" x14ac:dyDescent="0.25">
      <c r="B443" s="50"/>
    </row>
    <row r="444" spans="2:2" ht="13.2" x14ac:dyDescent="0.25">
      <c r="B444" s="50"/>
    </row>
    <row r="445" spans="2:2" ht="13.2" x14ac:dyDescent="0.25">
      <c r="B445" s="50"/>
    </row>
    <row r="446" spans="2:2" ht="13.2" x14ac:dyDescent="0.25">
      <c r="B446" s="50"/>
    </row>
    <row r="447" spans="2:2" ht="13.2" x14ac:dyDescent="0.25">
      <c r="B447" s="50"/>
    </row>
    <row r="448" spans="2:2" ht="13.2" x14ac:dyDescent="0.25">
      <c r="B448" s="50"/>
    </row>
    <row r="449" spans="2:2" ht="13.2" x14ac:dyDescent="0.25">
      <c r="B449" s="50"/>
    </row>
    <row r="450" spans="2:2" ht="13.2" x14ac:dyDescent="0.25">
      <c r="B450" s="50"/>
    </row>
    <row r="451" spans="2:2" ht="13.2" x14ac:dyDescent="0.25">
      <c r="B451" s="50"/>
    </row>
    <row r="452" spans="2:2" ht="13.2" x14ac:dyDescent="0.25">
      <c r="B452" s="50"/>
    </row>
    <row r="453" spans="2:2" ht="13.2" x14ac:dyDescent="0.25">
      <c r="B453" s="50"/>
    </row>
    <row r="454" spans="2:2" ht="13.2" x14ac:dyDescent="0.25">
      <c r="B454" s="50"/>
    </row>
    <row r="455" spans="2:2" ht="13.2" x14ac:dyDescent="0.25">
      <c r="B455" s="50"/>
    </row>
    <row r="456" spans="2:2" ht="13.2" x14ac:dyDescent="0.25">
      <c r="B456" s="50"/>
    </row>
    <row r="457" spans="2:2" ht="13.2" x14ac:dyDescent="0.25">
      <c r="B457" s="50"/>
    </row>
    <row r="458" spans="2:2" ht="13.2" x14ac:dyDescent="0.25">
      <c r="B458" s="50"/>
    </row>
    <row r="459" spans="2:2" ht="13.2" x14ac:dyDescent="0.25">
      <c r="B459" s="50"/>
    </row>
    <row r="460" spans="2:2" ht="13.2" x14ac:dyDescent="0.25">
      <c r="B460" s="50"/>
    </row>
    <row r="461" spans="2:2" ht="13.2" x14ac:dyDescent="0.25">
      <c r="B461" s="50"/>
    </row>
    <row r="462" spans="2:2" ht="13.2" x14ac:dyDescent="0.25">
      <c r="B462" s="50"/>
    </row>
    <row r="463" spans="2:2" ht="13.2" x14ac:dyDescent="0.25">
      <c r="B463" s="50"/>
    </row>
    <row r="464" spans="2:2" ht="13.2" x14ac:dyDescent="0.25">
      <c r="B464" s="50"/>
    </row>
    <row r="465" spans="2:2" ht="13.2" x14ac:dyDescent="0.25">
      <c r="B465" s="50"/>
    </row>
    <row r="466" spans="2:2" ht="13.2" x14ac:dyDescent="0.25">
      <c r="B466" s="50"/>
    </row>
    <row r="467" spans="2:2" ht="13.2" x14ac:dyDescent="0.25">
      <c r="B467" s="50"/>
    </row>
    <row r="468" spans="2:2" ht="13.2" x14ac:dyDescent="0.25">
      <c r="B468" s="50"/>
    </row>
    <row r="469" spans="2:2" ht="13.2" x14ac:dyDescent="0.25">
      <c r="B469" s="50"/>
    </row>
    <row r="470" spans="2:2" ht="13.2" x14ac:dyDescent="0.25">
      <c r="B470" s="50"/>
    </row>
    <row r="471" spans="2:2" ht="13.2" x14ac:dyDescent="0.25">
      <c r="B471" s="50"/>
    </row>
    <row r="472" spans="2:2" ht="13.2" x14ac:dyDescent="0.25">
      <c r="B472" s="50"/>
    </row>
    <row r="473" spans="2:2" ht="13.2" x14ac:dyDescent="0.25">
      <c r="B473" s="50"/>
    </row>
    <row r="474" spans="2:2" ht="13.2" x14ac:dyDescent="0.25">
      <c r="B474" s="50"/>
    </row>
    <row r="475" spans="2:2" ht="13.2" x14ac:dyDescent="0.25">
      <c r="B475" s="50"/>
    </row>
    <row r="476" spans="2:2" ht="13.2" x14ac:dyDescent="0.25">
      <c r="B476" s="50"/>
    </row>
    <row r="477" spans="2:2" ht="13.2" x14ac:dyDescent="0.25">
      <c r="B477" s="50"/>
    </row>
    <row r="478" spans="2:2" ht="13.2" x14ac:dyDescent="0.25">
      <c r="B478" s="50"/>
    </row>
    <row r="479" spans="2:2" ht="13.2" x14ac:dyDescent="0.25">
      <c r="B479" s="50"/>
    </row>
    <row r="480" spans="2:2" ht="13.2" x14ac:dyDescent="0.25">
      <c r="B480" s="50"/>
    </row>
    <row r="481" spans="2:2" ht="13.2" x14ac:dyDescent="0.25">
      <c r="B481" s="50"/>
    </row>
    <row r="482" spans="2:2" ht="13.2" x14ac:dyDescent="0.25">
      <c r="B482" s="50"/>
    </row>
    <row r="483" spans="2:2" ht="13.2" x14ac:dyDescent="0.25">
      <c r="B483" s="50"/>
    </row>
    <row r="484" spans="2:2" ht="13.2" x14ac:dyDescent="0.25">
      <c r="B484" s="50"/>
    </row>
    <row r="485" spans="2:2" ht="13.2" x14ac:dyDescent="0.25">
      <c r="B485" s="50"/>
    </row>
    <row r="486" spans="2:2" ht="13.2" x14ac:dyDescent="0.25">
      <c r="B486" s="50"/>
    </row>
    <row r="487" spans="2:2" ht="13.2" x14ac:dyDescent="0.25">
      <c r="B487" s="50"/>
    </row>
    <row r="488" spans="2:2" ht="13.2" x14ac:dyDescent="0.25">
      <c r="B488" s="50"/>
    </row>
    <row r="489" spans="2:2" ht="13.2" x14ac:dyDescent="0.25">
      <c r="B489" s="50"/>
    </row>
    <row r="490" spans="2:2" ht="13.2" x14ac:dyDescent="0.25">
      <c r="B490" s="50"/>
    </row>
    <row r="491" spans="2:2" ht="13.2" x14ac:dyDescent="0.25">
      <c r="B491" s="50"/>
    </row>
    <row r="492" spans="2:2" ht="13.2" x14ac:dyDescent="0.25">
      <c r="B492" s="50"/>
    </row>
    <row r="493" spans="2:2" ht="13.2" x14ac:dyDescent="0.25">
      <c r="B493" s="50"/>
    </row>
    <row r="494" spans="2:2" ht="13.2" x14ac:dyDescent="0.25">
      <c r="B494" s="50"/>
    </row>
    <row r="495" spans="2:2" ht="13.2" x14ac:dyDescent="0.25">
      <c r="B495" s="50"/>
    </row>
    <row r="496" spans="2:2" ht="13.2" x14ac:dyDescent="0.25">
      <c r="B496" s="50"/>
    </row>
    <row r="497" spans="2:2" ht="13.2" x14ac:dyDescent="0.25">
      <c r="B497" s="50"/>
    </row>
    <row r="498" spans="2:2" ht="13.2" x14ac:dyDescent="0.25">
      <c r="B498" s="50"/>
    </row>
    <row r="499" spans="2:2" ht="13.2" x14ac:dyDescent="0.25">
      <c r="B499" s="50"/>
    </row>
    <row r="500" spans="2:2" ht="13.2" x14ac:dyDescent="0.25">
      <c r="B500" s="50"/>
    </row>
    <row r="501" spans="2:2" ht="13.2" x14ac:dyDescent="0.25">
      <c r="B501" s="50"/>
    </row>
    <row r="502" spans="2:2" ht="13.2" x14ac:dyDescent="0.25">
      <c r="B502" s="50"/>
    </row>
    <row r="503" spans="2:2" ht="13.2" x14ac:dyDescent="0.25">
      <c r="B503" s="50"/>
    </row>
    <row r="504" spans="2:2" ht="13.2" x14ac:dyDescent="0.25">
      <c r="B504" s="50"/>
    </row>
    <row r="505" spans="2:2" ht="13.2" x14ac:dyDescent="0.25">
      <c r="B505" s="50"/>
    </row>
    <row r="506" spans="2:2" ht="13.2" x14ac:dyDescent="0.25">
      <c r="B506" s="50"/>
    </row>
    <row r="507" spans="2:2" ht="13.2" x14ac:dyDescent="0.25">
      <c r="B507" s="50"/>
    </row>
    <row r="508" spans="2:2" ht="13.2" x14ac:dyDescent="0.25">
      <c r="B508" s="50"/>
    </row>
    <row r="509" spans="2:2" ht="13.2" x14ac:dyDescent="0.25">
      <c r="B509" s="50"/>
    </row>
    <row r="510" spans="2:2" ht="13.2" x14ac:dyDescent="0.25">
      <c r="B510" s="50"/>
    </row>
    <row r="511" spans="2:2" ht="13.2" x14ac:dyDescent="0.25">
      <c r="B511" s="50"/>
    </row>
    <row r="512" spans="2:2" ht="13.2" x14ac:dyDescent="0.25">
      <c r="B512" s="50"/>
    </row>
    <row r="513" spans="2:2" ht="13.2" x14ac:dyDescent="0.25">
      <c r="B513" s="50"/>
    </row>
    <row r="514" spans="2:2" ht="13.2" x14ac:dyDescent="0.25">
      <c r="B514" s="50"/>
    </row>
    <row r="515" spans="2:2" ht="13.2" x14ac:dyDescent="0.25">
      <c r="B515" s="50"/>
    </row>
    <row r="516" spans="2:2" ht="13.2" x14ac:dyDescent="0.25">
      <c r="B516" s="50"/>
    </row>
    <row r="517" spans="2:2" ht="13.2" x14ac:dyDescent="0.25">
      <c r="B517" s="50"/>
    </row>
    <row r="518" spans="2:2" ht="13.2" x14ac:dyDescent="0.25">
      <c r="B518" s="50"/>
    </row>
    <row r="519" spans="2:2" ht="13.2" x14ac:dyDescent="0.25">
      <c r="B519" s="50"/>
    </row>
    <row r="520" spans="2:2" ht="13.2" x14ac:dyDescent="0.25">
      <c r="B520" s="50"/>
    </row>
    <row r="521" spans="2:2" ht="13.2" x14ac:dyDescent="0.25">
      <c r="B521" s="50"/>
    </row>
    <row r="522" spans="2:2" ht="13.2" x14ac:dyDescent="0.25">
      <c r="B522" s="50"/>
    </row>
    <row r="523" spans="2:2" ht="13.2" x14ac:dyDescent="0.25">
      <c r="B523" s="50"/>
    </row>
    <row r="524" spans="2:2" ht="13.2" x14ac:dyDescent="0.25">
      <c r="B524" s="50"/>
    </row>
    <row r="525" spans="2:2" ht="13.2" x14ac:dyDescent="0.25">
      <c r="B525" s="50"/>
    </row>
    <row r="526" spans="2:2" ht="13.2" x14ac:dyDescent="0.25">
      <c r="B526" s="50"/>
    </row>
    <row r="527" spans="2:2" ht="13.2" x14ac:dyDescent="0.25">
      <c r="B527" s="50"/>
    </row>
    <row r="528" spans="2:2" ht="13.2" x14ac:dyDescent="0.25">
      <c r="B528" s="50"/>
    </row>
    <row r="529" spans="2:2" ht="13.2" x14ac:dyDescent="0.25">
      <c r="B529" s="50"/>
    </row>
    <row r="530" spans="2:2" ht="13.2" x14ac:dyDescent="0.25">
      <c r="B530" s="50"/>
    </row>
    <row r="531" spans="2:2" ht="13.2" x14ac:dyDescent="0.25">
      <c r="B531" s="50"/>
    </row>
    <row r="532" spans="2:2" ht="13.2" x14ac:dyDescent="0.25">
      <c r="B532" s="50"/>
    </row>
    <row r="533" spans="2:2" ht="13.2" x14ac:dyDescent="0.25">
      <c r="B533" s="50"/>
    </row>
    <row r="534" spans="2:2" ht="13.2" x14ac:dyDescent="0.25">
      <c r="B534" s="50"/>
    </row>
    <row r="535" spans="2:2" ht="13.2" x14ac:dyDescent="0.25">
      <c r="B535" s="50"/>
    </row>
    <row r="536" spans="2:2" ht="13.2" x14ac:dyDescent="0.25">
      <c r="B536" s="50"/>
    </row>
    <row r="537" spans="2:2" ht="13.2" x14ac:dyDescent="0.25">
      <c r="B537" s="50"/>
    </row>
    <row r="538" spans="2:2" ht="13.2" x14ac:dyDescent="0.25">
      <c r="B538" s="50"/>
    </row>
    <row r="539" spans="2:2" ht="13.2" x14ac:dyDescent="0.25">
      <c r="B539" s="50"/>
    </row>
    <row r="540" spans="2:2" ht="13.2" x14ac:dyDescent="0.25">
      <c r="B540" s="50"/>
    </row>
    <row r="541" spans="2:2" ht="13.2" x14ac:dyDescent="0.25">
      <c r="B541" s="50"/>
    </row>
    <row r="542" spans="2:2" ht="13.2" x14ac:dyDescent="0.25">
      <c r="B542" s="50"/>
    </row>
    <row r="543" spans="2:2" ht="13.2" x14ac:dyDescent="0.25">
      <c r="B543" s="50"/>
    </row>
    <row r="544" spans="2:2" ht="13.2" x14ac:dyDescent="0.25">
      <c r="B544" s="50"/>
    </row>
    <row r="545" spans="2:2" ht="13.2" x14ac:dyDescent="0.25">
      <c r="B545" s="50"/>
    </row>
    <row r="546" spans="2:2" ht="13.2" x14ac:dyDescent="0.25">
      <c r="B546" s="50"/>
    </row>
    <row r="547" spans="2:2" ht="13.2" x14ac:dyDescent="0.25">
      <c r="B547" s="50"/>
    </row>
    <row r="548" spans="2:2" ht="13.2" x14ac:dyDescent="0.25">
      <c r="B548" s="50"/>
    </row>
    <row r="549" spans="2:2" ht="13.2" x14ac:dyDescent="0.25">
      <c r="B549" s="50"/>
    </row>
    <row r="550" spans="2:2" ht="13.2" x14ac:dyDescent="0.25">
      <c r="B550" s="50"/>
    </row>
    <row r="551" spans="2:2" ht="13.2" x14ac:dyDescent="0.25">
      <c r="B551" s="50"/>
    </row>
    <row r="552" spans="2:2" ht="13.2" x14ac:dyDescent="0.25">
      <c r="B552" s="50"/>
    </row>
    <row r="553" spans="2:2" ht="13.2" x14ac:dyDescent="0.25">
      <c r="B553" s="50"/>
    </row>
    <row r="554" spans="2:2" ht="13.2" x14ac:dyDescent="0.25">
      <c r="B554" s="50"/>
    </row>
    <row r="555" spans="2:2" ht="13.2" x14ac:dyDescent="0.25">
      <c r="B555" s="50"/>
    </row>
    <row r="556" spans="2:2" ht="13.2" x14ac:dyDescent="0.25">
      <c r="B556" s="50"/>
    </row>
    <row r="557" spans="2:2" ht="13.2" x14ac:dyDescent="0.25">
      <c r="B557" s="50"/>
    </row>
    <row r="558" spans="2:2" ht="13.2" x14ac:dyDescent="0.25">
      <c r="B558" s="50"/>
    </row>
    <row r="559" spans="2:2" ht="13.2" x14ac:dyDescent="0.25">
      <c r="B559" s="50"/>
    </row>
    <row r="560" spans="2:2" ht="13.2" x14ac:dyDescent="0.25">
      <c r="B560" s="50"/>
    </row>
    <row r="561" spans="2:2" ht="13.2" x14ac:dyDescent="0.25">
      <c r="B561" s="50"/>
    </row>
    <row r="562" spans="2:2" ht="13.2" x14ac:dyDescent="0.25">
      <c r="B562" s="50"/>
    </row>
    <row r="563" spans="2:2" ht="13.2" x14ac:dyDescent="0.25">
      <c r="B563" s="50"/>
    </row>
    <row r="564" spans="2:2" ht="13.2" x14ac:dyDescent="0.25">
      <c r="B564" s="50"/>
    </row>
    <row r="565" spans="2:2" ht="13.2" x14ac:dyDescent="0.25">
      <c r="B565" s="50"/>
    </row>
    <row r="566" spans="2:2" ht="13.2" x14ac:dyDescent="0.25">
      <c r="B566" s="50"/>
    </row>
    <row r="567" spans="2:2" ht="13.2" x14ac:dyDescent="0.25">
      <c r="B567" s="50"/>
    </row>
    <row r="568" spans="2:2" ht="13.2" x14ac:dyDescent="0.25">
      <c r="B568" s="50"/>
    </row>
    <row r="569" spans="2:2" ht="13.2" x14ac:dyDescent="0.25">
      <c r="B569" s="50"/>
    </row>
    <row r="570" spans="2:2" ht="13.2" x14ac:dyDescent="0.25">
      <c r="B570" s="50"/>
    </row>
    <row r="571" spans="2:2" ht="13.2" x14ac:dyDescent="0.25">
      <c r="B571" s="50"/>
    </row>
    <row r="572" spans="2:2" ht="13.2" x14ac:dyDescent="0.25">
      <c r="B572" s="50"/>
    </row>
    <row r="573" spans="2:2" ht="13.2" x14ac:dyDescent="0.25">
      <c r="B573" s="50"/>
    </row>
    <row r="574" spans="2:2" ht="13.2" x14ac:dyDescent="0.25">
      <c r="B574" s="50"/>
    </row>
    <row r="575" spans="2:2" ht="13.2" x14ac:dyDescent="0.25">
      <c r="B575" s="50"/>
    </row>
    <row r="576" spans="2:2" ht="13.2" x14ac:dyDescent="0.25">
      <c r="B576" s="50"/>
    </row>
    <row r="577" spans="2:2" ht="13.2" x14ac:dyDescent="0.25">
      <c r="B577" s="50"/>
    </row>
    <row r="578" spans="2:2" ht="13.2" x14ac:dyDescent="0.25">
      <c r="B578" s="50"/>
    </row>
    <row r="579" spans="2:2" ht="13.2" x14ac:dyDescent="0.25">
      <c r="B579" s="50"/>
    </row>
    <row r="580" spans="2:2" ht="13.2" x14ac:dyDescent="0.25">
      <c r="B580" s="50"/>
    </row>
    <row r="581" spans="2:2" ht="13.2" x14ac:dyDescent="0.25">
      <c r="B581" s="50"/>
    </row>
    <row r="582" spans="2:2" ht="13.2" x14ac:dyDescent="0.25">
      <c r="B582" s="50"/>
    </row>
    <row r="583" spans="2:2" ht="13.2" x14ac:dyDescent="0.25">
      <c r="B583" s="50"/>
    </row>
    <row r="584" spans="2:2" ht="13.2" x14ac:dyDescent="0.25">
      <c r="B584" s="50"/>
    </row>
    <row r="585" spans="2:2" ht="13.2" x14ac:dyDescent="0.25">
      <c r="B585" s="50"/>
    </row>
    <row r="586" spans="2:2" ht="13.2" x14ac:dyDescent="0.25">
      <c r="B586" s="50"/>
    </row>
    <row r="587" spans="2:2" ht="13.2" x14ac:dyDescent="0.25">
      <c r="B587" s="50"/>
    </row>
    <row r="588" spans="2:2" ht="13.2" x14ac:dyDescent="0.25">
      <c r="B588" s="50"/>
    </row>
    <row r="589" spans="2:2" ht="13.2" x14ac:dyDescent="0.25">
      <c r="B589" s="50"/>
    </row>
    <row r="590" spans="2:2" ht="13.2" x14ac:dyDescent="0.25">
      <c r="B590" s="50"/>
    </row>
    <row r="591" spans="2:2" ht="13.2" x14ac:dyDescent="0.25">
      <c r="B591" s="50"/>
    </row>
    <row r="592" spans="2:2" ht="13.2" x14ac:dyDescent="0.25">
      <c r="B592" s="50"/>
    </row>
    <row r="593" spans="2:2" ht="13.2" x14ac:dyDescent="0.25">
      <c r="B593" s="50"/>
    </row>
    <row r="594" spans="2:2" ht="13.2" x14ac:dyDescent="0.25">
      <c r="B594" s="50"/>
    </row>
    <row r="595" spans="2:2" ht="13.2" x14ac:dyDescent="0.25">
      <c r="B595" s="50"/>
    </row>
    <row r="596" spans="2:2" ht="13.2" x14ac:dyDescent="0.25">
      <c r="B596" s="50"/>
    </row>
    <row r="597" spans="2:2" ht="13.2" x14ac:dyDescent="0.25">
      <c r="B597" s="50"/>
    </row>
    <row r="598" spans="2:2" ht="13.2" x14ac:dyDescent="0.25">
      <c r="B598" s="50"/>
    </row>
    <row r="599" spans="2:2" ht="13.2" x14ac:dyDescent="0.25">
      <c r="B599" s="50"/>
    </row>
    <row r="600" spans="2:2" ht="13.2" x14ac:dyDescent="0.25">
      <c r="B600" s="50"/>
    </row>
    <row r="601" spans="2:2" ht="13.2" x14ac:dyDescent="0.25">
      <c r="B601" s="50"/>
    </row>
    <row r="602" spans="2:2" ht="13.2" x14ac:dyDescent="0.25">
      <c r="B602" s="50"/>
    </row>
    <row r="603" spans="2:2" ht="13.2" x14ac:dyDescent="0.25">
      <c r="B603" s="50"/>
    </row>
    <row r="604" spans="2:2" ht="13.2" x14ac:dyDescent="0.25">
      <c r="B604" s="50"/>
    </row>
    <row r="605" spans="2:2" ht="13.2" x14ac:dyDescent="0.25">
      <c r="B605" s="50"/>
    </row>
    <row r="606" spans="2:2" ht="13.2" x14ac:dyDescent="0.25">
      <c r="B606" s="50"/>
    </row>
    <row r="607" spans="2:2" ht="13.2" x14ac:dyDescent="0.25">
      <c r="B607" s="50"/>
    </row>
    <row r="608" spans="2:2" ht="13.2" x14ac:dyDescent="0.25">
      <c r="B608" s="50"/>
    </row>
    <row r="609" spans="2:2" ht="13.2" x14ac:dyDescent="0.25">
      <c r="B609" s="50"/>
    </row>
    <row r="610" spans="2:2" ht="13.2" x14ac:dyDescent="0.25">
      <c r="B610" s="50"/>
    </row>
    <row r="611" spans="2:2" ht="13.2" x14ac:dyDescent="0.25">
      <c r="B611" s="50"/>
    </row>
    <row r="612" spans="2:2" ht="13.2" x14ac:dyDescent="0.25">
      <c r="B612" s="50"/>
    </row>
    <row r="613" spans="2:2" ht="13.2" x14ac:dyDescent="0.25">
      <c r="B613" s="50"/>
    </row>
    <row r="614" spans="2:2" ht="13.2" x14ac:dyDescent="0.25">
      <c r="B614" s="50"/>
    </row>
    <row r="615" spans="2:2" ht="13.2" x14ac:dyDescent="0.25">
      <c r="B615" s="50"/>
    </row>
    <row r="616" spans="2:2" ht="13.2" x14ac:dyDescent="0.25">
      <c r="B616" s="50"/>
    </row>
    <row r="617" spans="2:2" ht="13.2" x14ac:dyDescent="0.25">
      <c r="B617" s="50"/>
    </row>
    <row r="618" spans="2:2" ht="13.2" x14ac:dyDescent="0.25">
      <c r="B618" s="50"/>
    </row>
    <row r="619" spans="2:2" ht="13.2" x14ac:dyDescent="0.25">
      <c r="B619" s="50"/>
    </row>
    <row r="620" spans="2:2" ht="13.2" x14ac:dyDescent="0.25">
      <c r="B620" s="50"/>
    </row>
    <row r="621" spans="2:2" ht="13.2" x14ac:dyDescent="0.25">
      <c r="B621" s="50"/>
    </row>
    <row r="622" spans="2:2" ht="13.2" x14ac:dyDescent="0.25">
      <c r="B622" s="50"/>
    </row>
    <row r="623" spans="2:2" ht="13.2" x14ac:dyDescent="0.25">
      <c r="B623" s="50"/>
    </row>
    <row r="624" spans="2:2" ht="13.2" x14ac:dyDescent="0.25">
      <c r="B624" s="50"/>
    </row>
    <row r="625" spans="2:2" ht="13.2" x14ac:dyDescent="0.25">
      <c r="B625" s="50"/>
    </row>
    <row r="626" spans="2:2" ht="13.2" x14ac:dyDescent="0.25">
      <c r="B626" s="50"/>
    </row>
    <row r="627" spans="2:2" ht="13.2" x14ac:dyDescent="0.25">
      <c r="B627" s="50"/>
    </row>
    <row r="628" spans="2:2" ht="13.2" x14ac:dyDescent="0.25">
      <c r="B628" s="50"/>
    </row>
    <row r="629" spans="2:2" ht="13.2" x14ac:dyDescent="0.25">
      <c r="B629" s="50"/>
    </row>
    <row r="630" spans="2:2" ht="13.2" x14ac:dyDescent="0.25">
      <c r="B630" s="50"/>
    </row>
    <row r="631" spans="2:2" ht="13.2" x14ac:dyDescent="0.25">
      <c r="B631" s="50"/>
    </row>
    <row r="632" spans="2:2" ht="13.2" x14ac:dyDescent="0.25">
      <c r="B632" s="50"/>
    </row>
    <row r="633" spans="2:2" ht="13.2" x14ac:dyDescent="0.25">
      <c r="B633" s="50"/>
    </row>
    <row r="634" spans="2:2" ht="13.2" x14ac:dyDescent="0.25">
      <c r="B634" s="50"/>
    </row>
    <row r="635" spans="2:2" ht="13.2" x14ac:dyDescent="0.25">
      <c r="B635" s="50"/>
    </row>
    <row r="636" spans="2:2" ht="13.2" x14ac:dyDescent="0.25">
      <c r="B636" s="50"/>
    </row>
    <row r="637" spans="2:2" ht="13.2" x14ac:dyDescent="0.25">
      <c r="B637" s="50"/>
    </row>
    <row r="638" spans="2:2" ht="13.2" x14ac:dyDescent="0.25">
      <c r="B638" s="50"/>
    </row>
    <row r="639" spans="2:2" ht="13.2" x14ac:dyDescent="0.25">
      <c r="B639" s="50"/>
    </row>
    <row r="640" spans="2:2" ht="13.2" x14ac:dyDescent="0.25">
      <c r="B640" s="50"/>
    </row>
    <row r="641" spans="2:2" ht="13.2" x14ac:dyDescent="0.25">
      <c r="B641" s="50"/>
    </row>
    <row r="642" spans="2:2" ht="13.2" x14ac:dyDescent="0.25">
      <c r="B642" s="50"/>
    </row>
    <row r="643" spans="2:2" ht="13.2" x14ac:dyDescent="0.25">
      <c r="B643" s="50"/>
    </row>
    <row r="644" spans="2:2" ht="13.2" x14ac:dyDescent="0.25">
      <c r="B644" s="50"/>
    </row>
    <row r="645" spans="2:2" ht="13.2" x14ac:dyDescent="0.25">
      <c r="B645" s="50"/>
    </row>
    <row r="646" spans="2:2" ht="13.2" x14ac:dyDescent="0.25">
      <c r="B646" s="50"/>
    </row>
    <row r="647" spans="2:2" ht="13.2" x14ac:dyDescent="0.25">
      <c r="B647" s="50"/>
    </row>
    <row r="648" spans="2:2" ht="13.2" x14ac:dyDescent="0.25">
      <c r="B648" s="50"/>
    </row>
    <row r="649" spans="2:2" ht="13.2" x14ac:dyDescent="0.25">
      <c r="B649" s="50"/>
    </row>
    <row r="650" spans="2:2" ht="13.2" x14ac:dyDescent="0.25">
      <c r="B650" s="50"/>
    </row>
    <row r="651" spans="2:2" ht="13.2" x14ac:dyDescent="0.25">
      <c r="B651" s="50"/>
    </row>
    <row r="652" spans="2:2" ht="13.2" x14ac:dyDescent="0.25">
      <c r="B652" s="50"/>
    </row>
    <row r="653" spans="2:2" ht="13.2" x14ac:dyDescent="0.25">
      <c r="B653" s="50"/>
    </row>
    <row r="654" spans="2:2" ht="13.2" x14ac:dyDescent="0.25">
      <c r="B654" s="50"/>
    </row>
    <row r="655" spans="2:2" ht="13.2" x14ac:dyDescent="0.25">
      <c r="B655" s="50"/>
    </row>
    <row r="656" spans="2:2" ht="13.2" x14ac:dyDescent="0.25">
      <c r="B656" s="50"/>
    </row>
    <row r="657" spans="2:2" ht="13.2" x14ac:dyDescent="0.25">
      <c r="B657" s="50"/>
    </row>
    <row r="658" spans="2:2" ht="13.2" x14ac:dyDescent="0.25">
      <c r="B658" s="50"/>
    </row>
    <row r="659" spans="2:2" ht="13.2" x14ac:dyDescent="0.25">
      <c r="B659" s="50"/>
    </row>
    <row r="660" spans="2:2" ht="13.2" x14ac:dyDescent="0.25">
      <c r="B660" s="50"/>
    </row>
    <row r="661" spans="2:2" ht="13.2" x14ac:dyDescent="0.25">
      <c r="B661" s="50"/>
    </row>
    <row r="662" spans="2:2" ht="13.2" x14ac:dyDescent="0.25">
      <c r="B662" s="50"/>
    </row>
    <row r="663" spans="2:2" ht="13.2" x14ac:dyDescent="0.25">
      <c r="B663" s="50"/>
    </row>
    <row r="664" spans="2:2" ht="13.2" x14ac:dyDescent="0.25">
      <c r="B664" s="50"/>
    </row>
    <row r="665" spans="2:2" ht="13.2" x14ac:dyDescent="0.25">
      <c r="B665" s="50"/>
    </row>
    <row r="666" spans="2:2" ht="13.2" x14ac:dyDescent="0.25">
      <c r="B666" s="50"/>
    </row>
    <row r="667" spans="2:2" ht="13.2" x14ac:dyDescent="0.25">
      <c r="B667" s="50"/>
    </row>
    <row r="668" spans="2:2" ht="13.2" x14ac:dyDescent="0.25">
      <c r="B668" s="50"/>
    </row>
    <row r="669" spans="2:2" ht="13.2" x14ac:dyDescent="0.25">
      <c r="B669" s="50"/>
    </row>
    <row r="670" spans="2:2" ht="13.2" x14ac:dyDescent="0.25">
      <c r="B670" s="50"/>
    </row>
    <row r="671" spans="2:2" ht="13.2" x14ac:dyDescent="0.25">
      <c r="B671" s="50"/>
    </row>
    <row r="672" spans="2:2" ht="13.2" x14ac:dyDescent="0.25">
      <c r="B672" s="50"/>
    </row>
    <row r="673" spans="2:2" ht="13.2" x14ac:dyDescent="0.25">
      <c r="B673" s="50"/>
    </row>
    <row r="674" spans="2:2" ht="13.2" x14ac:dyDescent="0.25">
      <c r="B674" s="50"/>
    </row>
    <row r="675" spans="2:2" ht="13.2" x14ac:dyDescent="0.25">
      <c r="B675" s="50"/>
    </row>
    <row r="676" spans="2:2" ht="13.2" x14ac:dyDescent="0.25">
      <c r="B676" s="50"/>
    </row>
    <row r="677" spans="2:2" ht="13.2" x14ac:dyDescent="0.25">
      <c r="B677" s="50"/>
    </row>
    <row r="678" spans="2:2" ht="13.2" x14ac:dyDescent="0.25">
      <c r="B678" s="50"/>
    </row>
    <row r="679" spans="2:2" ht="13.2" x14ac:dyDescent="0.25">
      <c r="B679" s="50"/>
    </row>
    <row r="680" spans="2:2" ht="13.2" x14ac:dyDescent="0.25">
      <c r="B680" s="50"/>
    </row>
    <row r="681" spans="2:2" ht="13.2" x14ac:dyDescent="0.25">
      <c r="B681" s="50"/>
    </row>
    <row r="682" spans="2:2" ht="13.2" x14ac:dyDescent="0.25">
      <c r="B682" s="50"/>
    </row>
    <row r="683" spans="2:2" ht="13.2" x14ac:dyDescent="0.25">
      <c r="B683" s="50"/>
    </row>
    <row r="684" spans="2:2" ht="13.2" x14ac:dyDescent="0.25">
      <c r="B684" s="50"/>
    </row>
    <row r="685" spans="2:2" ht="13.2" x14ac:dyDescent="0.25">
      <c r="B685" s="50"/>
    </row>
    <row r="686" spans="2:2" ht="13.2" x14ac:dyDescent="0.25">
      <c r="B686" s="50"/>
    </row>
    <row r="687" spans="2:2" ht="13.2" x14ac:dyDescent="0.25">
      <c r="B687" s="50"/>
    </row>
    <row r="688" spans="2:2" ht="13.2" x14ac:dyDescent="0.25">
      <c r="B688" s="50"/>
    </row>
    <row r="689" spans="2:2" ht="13.2" x14ac:dyDescent="0.25">
      <c r="B689" s="50"/>
    </row>
    <row r="690" spans="2:2" ht="13.2" x14ac:dyDescent="0.25">
      <c r="B690" s="50"/>
    </row>
    <row r="691" spans="2:2" ht="13.2" x14ac:dyDescent="0.25">
      <c r="B691" s="50"/>
    </row>
    <row r="692" spans="2:2" ht="13.2" x14ac:dyDescent="0.25">
      <c r="B692" s="50"/>
    </row>
    <row r="693" spans="2:2" ht="13.2" x14ac:dyDescent="0.25">
      <c r="B693" s="50"/>
    </row>
    <row r="694" spans="2:2" ht="13.2" x14ac:dyDescent="0.25">
      <c r="B694" s="50"/>
    </row>
    <row r="695" spans="2:2" ht="13.2" x14ac:dyDescent="0.25">
      <c r="B695" s="50"/>
    </row>
    <row r="696" spans="2:2" ht="13.2" x14ac:dyDescent="0.25">
      <c r="B696" s="50"/>
    </row>
    <row r="697" spans="2:2" ht="13.2" x14ac:dyDescent="0.25">
      <c r="B697" s="50"/>
    </row>
    <row r="698" spans="2:2" ht="13.2" x14ac:dyDescent="0.25">
      <c r="B698" s="50"/>
    </row>
    <row r="699" spans="2:2" ht="13.2" x14ac:dyDescent="0.25">
      <c r="B699" s="50"/>
    </row>
    <row r="700" spans="2:2" ht="13.2" x14ac:dyDescent="0.25">
      <c r="B700" s="50"/>
    </row>
    <row r="701" spans="2:2" ht="13.2" x14ac:dyDescent="0.25">
      <c r="B701" s="50"/>
    </row>
    <row r="702" spans="2:2" ht="13.2" x14ac:dyDescent="0.25">
      <c r="B702" s="50"/>
    </row>
    <row r="703" spans="2:2" ht="13.2" x14ac:dyDescent="0.25">
      <c r="B703" s="50"/>
    </row>
    <row r="704" spans="2:2" ht="13.2" x14ac:dyDescent="0.25">
      <c r="B704" s="50"/>
    </row>
    <row r="705" spans="2:2" ht="13.2" x14ac:dyDescent="0.25">
      <c r="B705" s="50"/>
    </row>
    <row r="706" spans="2:2" ht="13.2" x14ac:dyDescent="0.25">
      <c r="B706" s="50"/>
    </row>
    <row r="707" spans="2:2" ht="13.2" x14ac:dyDescent="0.25">
      <c r="B707" s="50"/>
    </row>
    <row r="708" spans="2:2" ht="13.2" x14ac:dyDescent="0.25">
      <c r="B708" s="50"/>
    </row>
    <row r="709" spans="2:2" ht="13.2" x14ac:dyDescent="0.25">
      <c r="B709" s="50"/>
    </row>
    <row r="710" spans="2:2" ht="13.2" x14ac:dyDescent="0.25">
      <c r="B710" s="50"/>
    </row>
    <row r="711" spans="2:2" ht="13.2" x14ac:dyDescent="0.25">
      <c r="B711" s="50"/>
    </row>
    <row r="712" spans="2:2" ht="13.2" x14ac:dyDescent="0.25">
      <c r="B712" s="50"/>
    </row>
    <row r="713" spans="2:2" ht="13.2" x14ac:dyDescent="0.25">
      <c r="B713" s="50"/>
    </row>
    <row r="714" spans="2:2" ht="13.2" x14ac:dyDescent="0.25">
      <c r="B714" s="50"/>
    </row>
    <row r="715" spans="2:2" ht="13.2" x14ac:dyDescent="0.25">
      <c r="B715" s="50"/>
    </row>
    <row r="716" spans="2:2" ht="13.2" x14ac:dyDescent="0.25">
      <c r="B716" s="50"/>
    </row>
    <row r="717" spans="2:2" ht="13.2" x14ac:dyDescent="0.25">
      <c r="B717" s="50"/>
    </row>
    <row r="718" spans="2:2" ht="13.2" x14ac:dyDescent="0.25">
      <c r="B718" s="50"/>
    </row>
    <row r="719" spans="2:2" ht="13.2" x14ac:dyDescent="0.25">
      <c r="B719" s="50"/>
    </row>
    <row r="720" spans="2:2" ht="13.2" x14ac:dyDescent="0.25">
      <c r="B720" s="50"/>
    </row>
    <row r="721" spans="2:2" ht="13.2" x14ac:dyDescent="0.25">
      <c r="B721" s="50"/>
    </row>
    <row r="722" spans="2:2" ht="13.2" x14ac:dyDescent="0.25">
      <c r="B722" s="50"/>
    </row>
    <row r="723" spans="2:2" ht="13.2" x14ac:dyDescent="0.25">
      <c r="B723" s="50"/>
    </row>
    <row r="724" spans="2:2" ht="13.2" x14ac:dyDescent="0.25">
      <c r="B724" s="50"/>
    </row>
    <row r="725" spans="2:2" ht="13.2" x14ac:dyDescent="0.25">
      <c r="B725" s="50"/>
    </row>
    <row r="726" spans="2:2" ht="13.2" x14ac:dyDescent="0.25">
      <c r="B726" s="50"/>
    </row>
    <row r="727" spans="2:2" ht="13.2" x14ac:dyDescent="0.25">
      <c r="B727" s="50"/>
    </row>
    <row r="728" spans="2:2" ht="13.2" x14ac:dyDescent="0.25">
      <c r="B728" s="50"/>
    </row>
    <row r="729" spans="2:2" ht="13.2" x14ac:dyDescent="0.25">
      <c r="B729" s="50"/>
    </row>
    <row r="730" spans="2:2" ht="13.2" x14ac:dyDescent="0.25">
      <c r="B730" s="50"/>
    </row>
    <row r="731" spans="2:2" ht="13.2" x14ac:dyDescent="0.25">
      <c r="B731" s="50"/>
    </row>
    <row r="732" spans="2:2" ht="13.2" x14ac:dyDescent="0.25">
      <c r="B732" s="50"/>
    </row>
    <row r="733" spans="2:2" ht="13.2" x14ac:dyDescent="0.25">
      <c r="B733" s="50"/>
    </row>
    <row r="734" spans="2:2" ht="13.2" x14ac:dyDescent="0.25">
      <c r="B734" s="50"/>
    </row>
    <row r="735" spans="2:2" ht="13.2" x14ac:dyDescent="0.25">
      <c r="B735" s="50"/>
    </row>
    <row r="736" spans="2:2" ht="13.2" x14ac:dyDescent="0.25">
      <c r="B736" s="50"/>
    </row>
    <row r="737" spans="2:2" ht="13.2" x14ac:dyDescent="0.25">
      <c r="B737" s="50"/>
    </row>
    <row r="738" spans="2:2" ht="13.2" x14ac:dyDescent="0.25">
      <c r="B738" s="50"/>
    </row>
    <row r="739" spans="2:2" ht="13.2" x14ac:dyDescent="0.25">
      <c r="B739" s="50"/>
    </row>
    <row r="740" spans="2:2" ht="13.2" x14ac:dyDescent="0.25">
      <c r="B740" s="50"/>
    </row>
    <row r="741" spans="2:2" ht="13.2" x14ac:dyDescent="0.25">
      <c r="B741" s="50"/>
    </row>
    <row r="742" spans="2:2" ht="13.2" x14ac:dyDescent="0.25">
      <c r="B742" s="50"/>
    </row>
    <row r="743" spans="2:2" ht="13.2" x14ac:dyDescent="0.25">
      <c r="B743" s="50"/>
    </row>
    <row r="744" spans="2:2" ht="13.2" x14ac:dyDescent="0.25">
      <c r="B744" s="50"/>
    </row>
    <row r="745" spans="2:2" ht="13.2" x14ac:dyDescent="0.25">
      <c r="B745" s="50"/>
    </row>
    <row r="746" spans="2:2" ht="13.2" x14ac:dyDescent="0.25">
      <c r="B746" s="50"/>
    </row>
    <row r="747" spans="2:2" ht="13.2" x14ac:dyDescent="0.25">
      <c r="B747" s="50"/>
    </row>
    <row r="748" spans="2:2" ht="13.2" x14ac:dyDescent="0.25">
      <c r="B748" s="50"/>
    </row>
    <row r="749" spans="2:2" ht="13.2" x14ac:dyDescent="0.25">
      <c r="B749" s="50"/>
    </row>
    <row r="750" spans="2:2" ht="13.2" x14ac:dyDescent="0.25">
      <c r="B750" s="50"/>
    </row>
    <row r="751" spans="2:2" ht="13.2" x14ac:dyDescent="0.25">
      <c r="B751" s="50"/>
    </row>
    <row r="752" spans="2:2" ht="13.2" x14ac:dyDescent="0.25">
      <c r="B752" s="50"/>
    </row>
    <row r="753" spans="2:2" ht="13.2" x14ac:dyDescent="0.25">
      <c r="B753" s="50"/>
    </row>
    <row r="754" spans="2:2" ht="13.2" x14ac:dyDescent="0.25">
      <c r="B754" s="50"/>
    </row>
    <row r="755" spans="2:2" ht="13.2" x14ac:dyDescent="0.25">
      <c r="B755" s="50"/>
    </row>
    <row r="756" spans="2:2" ht="13.2" x14ac:dyDescent="0.25">
      <c r="B756" s="50"/>
    </row>
    <row r="757" spans="2:2" ht="13.2" x14ac:dyDescent="0.25">
      <c r="B757" s="50"/>
    </row>
    <row r="758" spans="2:2" ht="13.2" x14ac:dyDescent="0.25">
      <c r="B758" s="50"/>
    </row>
    <row r="759" spans="2:2" ht="13.2" x14ac:dyDescent="0.25">
      <c r="B759" s="50"/>
    </row>
    <row r="760" spans="2:2" ht="13.2" x14ac:dyDescent="0.25">
      <c r="B760" s="50"/>
    </row>
    <row r="761" spans="2:2" ht="13.2" x14ac:dyDescent="0.25">
      <c r="B761" s="50"/>
    </row>
    <row r="762" spans="2:2" ht="13.2" x14ac:dyDescent="0.25">
      <c r="B762" s="50"/>
    </row>
    <row r="763" spans="2:2" ht="13.2" x14ac:dyDescent="0.25">
      <c r="B763" s="50"/>
    </row>
    <row r="764" spans="2:2" ht="13.2" x14ac:dyDescent="0.25">
      <c r="B764" s="50"/>
    </row>
    <row r="765" spans="2:2" ht="13.2" x14ac:dyDescent="0.25">
      <c r="B765" s="50"/>
    </row>
    <row r="766" spans="2:2" ht="13.2" x14ac:dyDescent="0.25">
      <c r="B766" s="50"/>
    </row>
    <row r="767" spans="2:2" ht="13.2" x14ac:dyDescent="0.25">
      <c r="B767" s="50"/>
    </row>
    <row r="768" spans="2:2" ht="13.2" x14ac:dyDescent="0.25">
      <c r="B768" s="50"/>
    </row>
    <row r="769" spans="2:2" ht="13.2" x14ac:dyDescent="0.25">
      <c r="B769" s="50"/>
    </row>
    <row r="770" spans="2:2" ht="13.2" x14ac:dyDescent="0.25">
      <c r="B770" s="50"/>
    </row>
    <row r="771" spans="2:2" ht="13.2" x14ac:dyDescent="0.25">
      <c r="B771" s="50"/>
    </row>
    <row r="772" spans="2:2" ht="13.2" x14ac:dyDescent="0.25">
      <c r="B772" s="50"/>
    </row>
    <row r="773" spans="2:2" ht="13.2" x14ac:dyDescent="0.25">
      <c r="B773" s="50"/>
    </row>
    <row r="774" spans="2:2" ht="13.2" x14ac:dyDescent="0.25">
      <c r="B774" s="50"/>
    </row>
    <row r="775" spans="2:2" ht="13.2" x14ac:dyDescent="0.25">
      <c r="B775" s="50"/>
    </row>
    <row r="776" spans="2:2" ht="13.2" x14ac:dyDescent="0.25">
      <c r="B776" s="50"/>
    </row>
    <row r="777" spans="2:2" ht="13.2" x14ac:dyDescent="0.25">
      <c r="B777" s="50"/>
    </row>
    <row r="778" spans="2:2" ht="13.2" x14ac:dyDescent="0.25">
      <c r="B778" s="50"/>
    </row>
    <row r="779" spans="2:2" ht="13.2" x14ac:dyDescent="0.25">
      <c r="B779" s="50"/>
    </row>
    <row r="780" spans="2:2" ht="13.2" x14ac:dyDescent="0.25">
      <c r="B780" s="50"/>
    </row>
    <row r="781" spans="2:2" ht="13.2" x14ac:dyDescent="0.25">
      <c r="B781" s="50"/>
    </row>
    <row r="782" spans="2:2" ht="13.2" x14ac:dyDescent="0.25">
      <c r="B782" s="50"/>
    </row>
    <row r="783" spans="2:2" ht="13.2" x14ac:dyDescent="0.25">
      <c r="B783" s="50"/>
    </row>
    <row r="784" spans="2:2" ht="13.2" x14ac:dyDescent="0.25">
      <c r="B784" s="50"/>
    </row>
    <row r="785" spans="2:2" ht="13.2" x14ac:dyDescent="0.25">
      <c r="B785" s="50"/>
    </row>
    <row r="786" spans="2:2" ht="13.2" x14ac:dyDescent="0.25">
      <c r="B786" s="50"/>
    </row>
    <row r="787" spans="2:2" ht="13.2" x14ac:dyDescent="0.25">
      <c r="B787" s="50"/>
    </row>
    <row r="788" spans="2:2" ht="13.2" x14ac:dyDescent="0.25">
      <c r="B788" s="50"/>
    </row>
    <row r="789" spans="2:2" ht="13.2" x14ac:dyDescent="0.25">
      <c r="B789" s="50"/>
    </row>
    <row r="790" spans="2:2" ht="13.2" x14ac:dyDescent="0.25">
      <c r="B790" s="50"/>
    </row>
    <row r="791" spans="2:2" ht="13.2" x14ac:dyDescent="0.25">
      <c r="B791" s="50"/>
    </row>
    <row r="792" spans="2:2" ht="13.2" x14ac:dyDescent="0.25">
      <c r="B792" s="50"/>
    </row>
    <row r="793" spans="2:2" ht="13.2" x14ac:dyDescent="0.25">
      <c r="B793" s="50"/>
    </row>
    <row r="794" spans="2:2" ht="13.2" x14ac:dyDescent="0.25">
      <c r="B794" s="50"/>
    </row>
    <row r="795" spans="2:2" ht="13.2" x14ac:dyDescent="0.25">
      <c r="B795" s="50"/>
    </row>
    <row r="796" spans="2:2" ht="13.2" x14ac:dyDescent="0.25">
      <c r="B796" s="50"/>
    </row>
    <row r="797" spans="2:2" ht="13.2" x14ac:dyDescent="0.25">
      <c r="B797" s="50"/>
    </row>
    <row r="798" spans="2:2" ht="13.2" x14ac:dyDescent="0.25">
      <c r="B798" s="50"/>
    </row>
    <row r="799" spans="2:2" ht="13.2" x14ac:dyDescent="0.25">
      <c r="B799" s="50"/>
    </row>
    <row r="800" spans="2:2" ht="13.2" x14ac:dyDescent="0.25">
      <c r="B800" s="50"/>
    </row>
    <row r="801" spans="2:2" ht="13.2" x14ac:dyDescent="0.25">
      <c r="B801" s="50"/>
    </row>
    <row r="802" spans="2:2" ht="13.2" x14ac:dyDescent="0.25">
      <c r="B802" s="50"/>
    </row>
    <row r="803" spans="2:2" ht="13.2" x14ac:dyDescent="0.25">
      <c r="B803" s="50"/>
    </row>
    <row r="804" spans="2:2" ht="13.2" x14ac:dyDescent="0.25">
      <c r="B804" s="50"/>
    </row>
    <row r="805" spans="2:2" ht="13.2" x14ac:dyDescent="0.25">
      <c r="B805" s="50"/>
    </row>
    <row r="806" spans="2:2" ht="13.2" x14ac:dyDescent="0.25">
      <c r="B806" s="50"/>
    </row>
    <row r="807" spans="2:2" ht="13.2" x14ac:dyDescent="0.25">
      <c r="B807" s="50"/>
    </row>
    <row r="808" spans="2:2" ht="13.2" x14ac:dyDescent="0.25">
      <c r="B808" s="50"/>
    </row>
    <row r="809" spans="2:2" ht="13.2" x14ac:dyDescent="0.25">
      <c r="B809" s="50"/>
    </row>
    <row r="810" spans="2:2" ht="13.2" x14ac:dyDescent="0.25">
      <c r="B810" s="50"/>
    </row>
    <row r="811" spans="2:2" ht="13.2" x14ac:dyDescent="0.25">
      <c r="B811" s="50"/>
    </row>
    <row r="812" spans="2:2" ht="13.2" x14ac:dyDescent="0.25">
      <c r="B812" s="50"/>
    </row>
    <row r="813" spans="2:2" ht="13.2" x14ac:dyDescent="0.25">
      <c r="B813" s="50"/>
    </row>
    <row r="814" spans="2:2" ht="13.2" x14ac:dyDescent="0.25">
      <c r="B814" s="50"/>
    </row>
    <row r="815" spans="2:2" ht="13.2" x14ac:dyDescent="0.25">
      <c r="B815" s="50"/>
    </row>
    <row r="816" spans="2:2" ht="13.2" x14ac:dyDescent="0.25">
      <c r="B816" s="50"/>
    </row>
    <row r="817" spans="2:2" ht="13.2" x14ac:dyDescent="0.25">
      <c r="B817" s="50"/>
    </row>
    <row r="818" spans="2:2" ht="13.2" x14ac:dyDescent="0.25">
      <c r="B818" s="50"/>
    </row>
    <row r="819" spans="2:2" ht="13.2" x14ac:dyDescent="0.25">
      <c r="B819" s="50"/>
    </row>
    <row r="820" spans="2:2" ht="13.2" x14ac:dyDescent="0.25">
      <c r="B820" s="50"/>
    </row>
    <row r="821" spans="2:2" ht="13.2" x14ac:dyDescent="0.25">
      <c r="B821" s="50"/>
    </row>
    <row r="822" spans="2:2" ht="13.2" x14ac:dyDescent="0.25">
      <c r="B822" s="50"/>
    </row>
    <row r="823" spans="2:2" ht="13.2" x14ac:dyDescent="0.25">
      <c r="B823" s="50"/>
    </row>
    <row r="824" spans="2:2" ht="13.2" x14ac:dyDescent="0.25">
      <c r="B824" s="50"/>
    </row>
    <row r="825" spans="2:2" ht="13.2" x14ac:dyDescent="0.25">
      <c r="B825" s="50"/>
    </row>
    <row r="826" spans="2:2" ht="13.2" x14ac:dyDescent="0.25">
      <c r="B826" s="50"/>
    </row>
    <row r="827" spans="2:2" ht="13.2" x14ac:dyDescent="0.25">
      <c r="B827" s="50"/>
    </row>
    <row r="828" spans="2:2" ht="13.2" x14ac:dyDescent="0.25">
      <c r="B828" s="50"/>
    </row>
    <row r="829" spans="2:2" ht="13.2" x14ac:dyDescent="0.25">
      <c r="B829" s="50"/>
    </row>
    <row r="830" spans="2:2" ht="13.2" x14ac:dyDescent="0.25">
      <c r="B830" s="50"/>
    </row>
    <row r="831" spans="2:2" ht="13.2" x14ac:dyDescent="0.25">
      <c r="B831" s="50"/>
    </row>
    <row r="832" spans="2:2" ht="13.2" x14ac:dyDescent="0.25">
      <c r="B832" s="50"/>
    </row>
    <row r="833" spans="2:2" ht="13.2" x14ac:dyDescent="0.25">
      <c r="B833" s="50"/>
    </row>
    <row r="834" spans="2:2" ht="13.2" x14ac:dyDescent="0.25">
      <c r="B834" s="50"/>
    </row>
    <row r="835" spans="2:2" ht="13.2" x14ac:dyDescent="0.25">
      <c r="B835" s="50"/>
    </row>
    <row r="836" spans="2:2" ht="13.2" x14ac:dyDescent="0.25">
      <c r="B836" s="50"/>
    </row>
    <row r="837" spans="2:2" ht="13.2" x14ac:dyDescent="0.25">
      <c r="B837" s="50"/>
    </row>
    <row r="838" spans="2:2" ht="13.2" x14ac:dyDescent="0.25">
      <c r="B838" s="50"/>
    </row>
    <row r="839" spans="2:2" ht="13.2" x14ac:dyDescent="0.25">
      <c r="B839" s="50"/>
    </row>
    <row r="840" spans="2:2" ht="13.2" x14ac:dyDescent="0.25">
      <c r="B840" s="50"/>
    </row>
    <row r="841" spans="2:2" ht="13.2" x14ac:dyDescent="0.25">
      <c r="B841" s="50"/>
    </row>
    <row r="842" spans="2:2" ht="13.2" x14ac:dyDescent="0.25">
      <c r="B842" s="50"/>
    </row>
    <row r="843" spans="2:2" ht="13.2" x14ac:dyDescent="0.25">
      <c r="B843" s="50"/>
    </row>
    <row r="844" spans="2:2" ht="13.2" x14ac:dyDescent="0.25">
      <c r="B844" s="50"/>
    </row>
    <row r="845" spans="2:2" ht="13.2" x14ac:dyDescent="0.25">
      <c r="B845" s="50"/>
    </row>
    <row r="846" spans="2:2" ht="13.2" x14ac:dyDescent="0.25">
      <c r="B846" s="50"/>
    </row>
    <row r="847" spans="2:2" ht="13.2" x14ac:dyDescent="0.25">
      <c r="B847" s="50"/>
    </row>
    <row r="848" spans="2:2" ht="13.2" x14ac:dyDescent="0.25">
      <c r="B848" s="50"/>
    </row>
    <row r="849" spans="2:2" ht="13.2" x14ac:dyDescent="0.25">
      <c r="B849" s="50"/>
    </row>
    <row r="850" spans="2:2" ht="13.2" x14ac:dyDescent="0.25">
      <c r="B850" s="50"/>
    </row>
    <row r="851" spans="2:2" ht="13.2" x14ac:dyDescent="0.25">
      <c r="B851" s="50"/>
    </row>
    <row r="852" spans="2:2" ht="13.2" x14ac:dyDescent="0.25">
      <c r="B852" s="50"/>
    </row>
    <row r="853" spans="2:2" ht="13.2" x14ac:dyDescent="0.25">
      <c r="B853" s="50"/>
    </row>
    <row r="854" spans="2:2" ht="13.2" x14ac:dyDescent="0.25">
      <c r="B854" s="50"/>
    </row>
    <row r="855" spans="2:2" ht="13.2" x14ac:dyDescent="0.25">
      <c r="B855" s="50"/>
    </row>
    <row r="856" spans="2:2" ht="13.2" x14ac:dyDescent="0.25">
      <c r="B856" s="50"/>
    </row>
    <row r="857" spans="2:2" ht="13.2" x14ac:dyDescent="0.25">
      <c r="B857" s="50"/>
    </row>
    <row r="858" spans="2:2" ht="13.2" x14ac:dyDescent="0.25">
      <c r="B858" s="50"/>
    </row>
    <row r="859" spans="2:2" ht="13.2" x14ac:dyDescent="0.25">
      <c r="B859" s="50"/>
    </row>
    <row r="860" spans="2:2" ht="13.2" x14ac:dyDescent="0.25">
      <c r="B860" s="50"/>
    </row>
    <row r="861" spans="2:2" ht="13.2" x14ac:dyDescent="0.25">
      <c r="B861" s="50"/>
    </row>
    <row r="862" spans="2:2" ht="13.2" x14ac:dyDescent="0.25">
      <c r="B862" s="50"/>
    </row>
    <row r="863" spans="2:2" ht="13.2" x14ac:dyDescent="0.25">
      <c r="B863" s="50"/>
    </row>
    <row r="864" spans="2:2" ht="13.2" x14ac:dyDescent="0.25">
      <c r="B864" s="50"/>
    </row>
    <row r="865" spans="2:2" ht="13.2" x14ac:dyDescent="0.25">
      <c r="B865" s="50"/>
    </row>
    <row r="866" spans="2:2" ht="13.2" x14ac:dyDescent="0.25">
      <c r="B866" s="50"/>
    </row>
    <row r="867" spans="2:2" ht="13.2" x14ac:dyDescent="0.25">
      <c r="B867" s="50"/>
    </row>
    <row r="868" spans="2:2" ht="13.2" x14ac:dyDescent="0.25">
      <c r="B868" s="50"/>
    </row>
    <row r="869" spans="2:2" ht="13.2" x14ac:dyDescent="0.25">
      <c r="B869" s="50"/>
    </row>
    <row r="870" spans="2:2" ht="13.2" x14ac:dyDescent="0.25">
      <c r="B870" s="50"/>
    </row>
    <row r="871" spans="2:2" ht="13.2" x14ac:dyDescent="0.25">
      <c r="B871" s="50"/>
    </row>
    <row r="872" spans="2:2" ht="13.2" x14ac:dyDescent="0.25">
      <c r="B872" s="50"/>
    </row>
    <row r="873" spans="2:2" ht="13.2" x14ac:dyDescent="0.25">
      <c r="B873" s="50"/>
    </row>
    <row r="874" spans="2:2" ht="13.2" x14ac:dyDescent="0.25">
      <c r="B874" s="50"/>
    </row>
    <row r="875" spans="2:2" ht="13.2" x14ac:dyDescent="0.25">
      <c r="B875" s="50"/>
    </row>
    <row r="876" spans="2:2" ht="13.2" x14ac:dyDescent="0.25">
      <c r="B876" s="50"/>
    </row>
    <row r="877" spans="2:2" ht="13.2" x14ac:dyDescent="0.25">
      <c r="B877" s="50"/>
    </row>
    <row r="878" spans="2:2" ht="13.2" x14ac:dyDescent="0.25">
      <c r="B878" s="50"/>
    </row>
    <row r="879" spans="2:2" ht="13.2" x14ac:dyDescent="0.25">
      <c r="B879" s="50"/>
    </row>
    <row r="880" spans="2:2" ht="13.2" x14ac:dyDescent="0.25">
      <c r="B880" s="50"/>
    </row>
    <row r="881" spans="2:2" ht="13.2" x14ac:dyDescent="0.25">
      <c r="B881" s="50"/>
    </row>
    <row r="882" spans="2:2" ht="13.2" x14ac:dyDescent="0.25">
      <c r="B882" s="50"/>
    </row>
    <row r="883" spans="2:2" ht="13.2" x14ac:dyDescent="0.25">
      <c r="B883" s="50"/>
    </row>
    <row r="884" spans="2:2" ht="13.2" x14ac:dyDescent="0.25">
      <c r="B884" s="50"/>
    </row>
    <row r="885" spans="2:2" ht="13.2" x14ac:dyDescent="0.25">
      <c r="B885" s="50"/>
    </row>
    <row r="886" spans="2:2" ht="13.2" x14ac:dyDescent="0.25">
      <c r="B886" s="50"/>
    </row>
    <row r="887" spans="2:2" ht="13.2" x14ac:dyDescent="0.25">
      <c r="B887" s="50"/>
    </row>
    <row r="888" spans="2:2" ht="13.2" x14ac:dyDescent="0.25">
      <c r="B888" s="50"/>
    </row>
    <row r="889" spans="2:2" ht="13.2" x14ac:dyDescent="0.25">
      <c r="B889" s="50"/>
    </row>
    <row r="890" spans="2:2" ht="13.2" x14ac:dyDescent="0.25">
      <c r="B890" s="50"/>
    </row>
    <row r="891" spans="2:2" ht="13.2" x14ac:dyDescent="0.25">
      <c r="B891" s="50"/>
    </row>
    <row r="892" spans="2:2" ht="13.2" x14ac:dyDescent="0.25">
      <c r="B892" s="50"/>
    </row>
    <row r="893" spans="2:2" ht="13.2" x14ac:dyDescent="0.25">
      <c r="B893" s="50"/>
    </row>
    <row r="894" spans="2:2" ht="13.2" x14ac:dyDescent="0.25">
      <c r="B894" s="50"/>
    </row>
    <row r="895" spans="2:2" ht="13.2" x14ac:dyDescent="0.25">
      <c r="B895" s="50"/>
    </row>
    <row r="896" spans="2:2" ht="13.2" x14ac:dyDescent="0.25">
      <c r="B896" s="50"/>
    </row>
    <row r="897" spans="2:2" ht="13.2" x14ac:dyDescent="0.25">
      <c r="B897" s="50"/>
    </row>
    <row r="898" spans="2:2" ht="13.2" x14ac:dyDescent="0.25">
      <c r="B898" s="50"/>
    </row>
    <row r="899" spans="2:2" ht="13.2" x14ac:dyDescent="0.25">
      <c r="B899" s="50"/>
    </row>
    <row r="900" spans="2:2" ht="13.2" x14ac:dyDescent="0.25">
      <c r="B900" s="50"/>
    </row>
    <row r="901" spans="2:2" ht="13.2" x14ac:dyDescent="0.25">
      <c r="B901" s="50"/>
    </row>
    <row r="902" spans="2:2" ht="13.2" x14ac:dyDescent="0.25">
      <c r="B902" s="50"/>
    </row>
    <row r="903" spans="2:2" ht="13.2" x14ac:dyDescent="0.25">
      <c r="B903" s="50"/>
    </row>
    <row r="904" spans="2:2" ht="13.2" x14ac:dyDescent="0.25">
      <c r="B904" s="50"/>
    </row>
    <row r="905" spans="2:2" ht="13.2" x14ac:dyDescent="0.25">
      <c r="B905" s="50"/>
    </row>
    <row r="906" spans="2:2" ht="13.2" x14ac:dyDescent="0.25">
      <c r="B906" s="50"/>
    </row>
    <row r="907" spans="2:2" ht="13.2" x14ac:dyDescent="0.25">
      <c r="B907" s="50"/>
    </row>
    <row r="908" spans="2:2" ht="13.2" x14ac:dyDescent="0.25">
      <c r="B908" s="50"/>
    </row>
    <row r="909" spans="2:2" ht="13.2" x14ac:dyDescent="0.25">
      <c r="B909" s="50"/>
    </row>
    <row r="910" spans="2:2" ht="13.2" x14ac:dyDescent="0.25">
      <c r="B910" s="50"/>
    </row>
    <row r="911" spans="2:2" ht="13.2" x14ac:dyDescent="0.25">
      <c r="B911" s="50"/>
    </row>
    <row r="912" spans="2:2" ht="13.2" x14ac:dyDescent="0.25">
      <c r="B912" s="50"/>
    </row>
    <row r="913" spans="2:2" ht="13.2" x14ac:dyDescent="0.25">
      <c r="B913" s="50"/>
    </row>
    <row r="914" spans="2:2" ht="13.2" x14ac:dyDescent="0.25">
      <c r="B914" s="50"/>
    </row>
    <row r="915" spans="2:2" ht="13.2" x14ac:dyDescent="0.25">
      <c r="B915" s="50"/>
    </row>
    <row r="916" spans="2:2" ht="13.2" x14ac:dyDescent="0.25">
      <c r="B916" s="50"/>
    </row>
    <row r="917" spans="2:2" ht="13.2" x14ac:dyDescent="0.25">
      <c r="B917" s="50"/>
    </row>
    <row r="918" spans="2:2" ht="13.2" x14ac:dyDescent="0.25">
      <c r="B918" s="50"/>
    </row>
    <row r="919" spans="2:2" ht="13.2" x14ac:dyDescent="0.25">
      <c r="B919" s="50"/>
    </row>
    <row r="920" spans="2:2" ht="13.2" x14ac:dyDescent="0.25">
      <c r="B920" s="50"/>
    </row>
    <row r="921" spans="2:2" ht="13.2" x14ac:dyDescent="0.25">
      <c r="B921" s="50"/>
    </row>
    <row r="922" spans="2:2" ht="13.2" x14ac:dyDescent="0.25">
      <c r="B922" s="50"/>
    </row>
    <row r="923" spans="2:2" ht="13.2" x14ac:dyDescent="0.25">
      <c r="B923" s="50"/>
    </row>
    <row r="924" spans="2:2" ht="13.2" x14ac:dyDescent="0.25">
      <c r="B924" s="50"/>
    </row>
    <row r="925" spans="2:2" ht="13.2" x14ac:dyDescent="0.25">
      <c r="B925" s="50"/>
    </row>
    <row r="926" spans="2:2" ht="13.2" x14ac:dyDescent="0.25">
      <c r="B926" s="50"/>
    </row>
    <row r="927" spans="2:2" ht="13.2" x14ac:dyDescent="0.25">
      <c r="B927" s="50"/>
    </row>
    <row r="928" spans="2:2" ht="13.2" x14ac:dyDescent="0.25">
      <c r="B928" s="50"/>
    </row>
    <row r="929" spans="2:2" ht="13.2" x14ac:dyDescent="0.25">
      <c r="B929" s="50"/>
    </row>
    <row r="930" spans="2:2" ht="13.2" x14ac:dyDescent="0.25">
      <c r="B930" s="50"/>
    </row>
    <row r="931" spans="2:2" ht="13.2" x14ac:dyDescent="0.25">
      <c r="B931" s="50"/>
    </row>
    <row r="932" spans="2:2" ht="13.2" x14ac:dyDescent="0.25">
      <c r="B932" s="50"/>
    </row>
    <row r="933" spans="2:2" ht="13.2" x14ac:dyDescent="0.25">
      <c r="B933" s="50"/>
    </row>
    <row r="934" spans="2:2" ht="13.2" x14ac:dyDescent="0.25">
      <c r="B934" s="50"/>
    </row>
    <row r="935" spans="2:2" ht="13.2" x14ac:dyDescent="0.25">
      <c r="B935" s="50"/>
    </row>
    <row r="936" spans="2:2" ht="13.2" x14ac:dyDescent="0.25">
      <c r="B936" s="50"/>
    </row>
    <row r="937" spans="2:2" ht="13.2" x14ac:dyDescent="0.25">
      <c r="B937" s="50"/>
    </row>
    <row r="938" spans="2:2" ht="13.2" x14ac:dyDescent="0.25">
      <c r="B938" s="50"/>
    </row>
    <row r="939" spans="2:2" ht="13.2" x14ac:dyDescent="0.25">
      <c r="B939" s="50"/>
    </row>
    <row r="940" spans="2:2" ht="13.2" x14ac:dyDescent="0.25">
      <c r="B940" s="50"/>
    </row>
    <row r="941" spans="2:2" ht="13.2" x14ac:dyDescent="0.25">
      <c r="B941" s="50"/>
    </row>
    <row r="942" spans="2:2" ht="13.2" x14ac:dyDescent="0.25">
      <c r="B942" s="50"/>
    </row>
    <row r="943" spans="2:2" ht="13.2" x14ac:dyDescent="0.25">
      <c r="B943" s="50"/>
    </row>
    <row r="944" spans="2:2" ht="13.2" x14ac:dyDescent="0.25">
      <c r="B944" s="50"/>
    </row>
    <row r="945" spans="2:2" ht="13.2" x14ac:dyDescent="0.25">
      <c r="B945" s="50"/>
    </row>
    <row r="946" spans="2:2" ht="13.2" x14ac:dyDescent="0.25">
      <c r="B946" s="50"/>
    </row>
    <row r="947" spans="2:2" ht="13.2" x14ac:dyDescent="0.25">
      <c r="B947" s="50"/>
    </row>
    <row r="948" spans="2:2" ht="13.2" x14ac:dyDescent="0.25">
      <c r="B948" s="50"/>
    </row>
    <row r="949" spans="2:2" ht="13.2" x14ac:dyDescent="0.25">
      <c r="B949" s="50"/>
    </row>
    <row r="950" spans="2:2" ht="13.2" x14ac:dyDescent="0.25">
      <c r="B950" s="50"/>
    </row>
    <row r="951" spans="2:2" ht="13.2" x14ac:dyDescent="0.25">
      <c r="B951" s="50"/>
    </row>
    <row r="952" spans="2:2" ht="13.2" x14ac:dyDescent="0.25">
      <c r="B952" s="50"/>
    </row>
    <row r="953" spans="2:2" ht="13.2" x14ac:dyDescent="0.25">
      <c r="B953" s="50"/>
    </row>
    <row r="954" spans="2:2" ht="13.2" x14ac:dyDescent="0.25">
      <c r="B954" s="50"/>
    </row>
    <row r="955" spans="2:2" ht="13.2" x14ac:dyDescent="0.25">
      <c r="B955" s="50"/>
    </row>
    <row r="956" spans="2:2" ht="13.2" x14ac:dyDescent="0.25">
      <c r="B956" s="50"/>
    </row>
    <row r="957" spans="2:2" ht="13.2" x14ac:dyDescent="0.25">
      <c r="B957" s="50"/>
    </row>
    <row r="958" spans="2:2" ht="13.2" x14ac:dyDescent="0.25">
      <c r="B958" s="50"/>
    </row>
    <row r="959" spans="2:2" ht="13.2" x14ac:dyDescent="0.25">
      <c r="B959" s="50"/>
    </row>
    <row r="960" spans="2:2" ht="13.2" x14ac:dyDescent="0.25">
      <c r="B960" s="50"/>
    </row>
    <row r="961" spans="2:2" ht="13.2" x14ac:dyDescent="0.25">
      <c r="B961" s="50"/>
    </row>
    <row r="962" spans="2:2" ht="13.2" x14ac:dyDescent="0.25">
      <c r="B962" s="50"/>
    </row>
    <row r="963" spans="2:2" ht="13.2" x14ac:dyDescent="0.25">
      <c r="B963" s="50"/>
    </row>
    <row r="964" spans="2:2" ht="13.2" x14ac:dyDescent="0.25">
      <c r="B964" s="50"/>
    </row>
    <row r="965" spans="2:2" ht="13.2" x14ac:dyDescent="0.25">
      <c r="B965" s="50"/>
    </row>
    <row r="966" spans="2:2" ht="13.2" x14ac:dyDescent="0.25">
      <c r="B966" s="50"/>
    </row>
    <row r="967" spans="2:2" ht="13.2" x14ac:dyDescent="0.25">
      <c r="B967" s="50"/>
    </row>
    <row r="968" spans="2:2" ht="13.2" x14ac:dyDescent="0.25">
      <c r="B968" s="50"/>
    </row>
    <row r="969" spans="2:2" ht="13.2" x14ac:dyDescent="0.25">
      <c r="B969" s="50"/>
    </row>
    <row r="970" spans="2:2" ht="13.2" x14ac:dyDescent="0.25">
      <c r="B970" s="50"/>
    </row>
    <row r="971" spans="2:2" ht="13.2" x14ac:dyDescent="0.25">
      <c r="B971" s="50"/>
    </row>
    <row r="972" spans="2:2" ht="13.2" x14ac:dyDescent="0.25">
      <c r="B972" s="50"/>
    </row>
    <row r="973" spans="2:2" ht="13.2" x14ac:dyDescent="0.25">
      <c r="B973" s="50"/>
    </row>
    <row r="974" spans="2:2" ht="13.2" x14ac:dyDescent="0.25">
      <c r="B974" s="50"/>
    </row>
    <row r="975" spans="2:2" ht="13.2" x14ac:dyDescent="0.25">
      <c r="B975" s="50"/>
    </row>
    <row r="976" spans="2:2" ht="13.2" x14ac:dyDescent="0.25">
      <c r="B976" s="50"/>
    </row>
    <row r="977" spans="2:2" ht="13.2" x14ac:dyDescent="0.25">
      <c r="B977" s="50"/>
    </row>
    <row r="978" spans="2:2" ht="13.2" x14ac:dyDescent="0.25">
      <c r="B978" s="50"/>
    </row>
    <row r="979" spans="2:2" ht="13.2" x14ac:dyDescent="0.25">
      <c r="B979" s="50"/>
    </row>
    <row r="980" spans="2:2" ht="13.2" x14ac:dyDescent="0.25">
      <c r="B980" s="50"/>
    </row>
    <row r="981" spans="2:2" ht="13.2" x14ac:dyDescent="0.25">
      <c r="B981" s="50"/>
    </row>
    <row r="982" spans="2:2" ht="13.2" x14ac:dyDescent="0.25">
      <c r="B982" s="50"/>
    </row>
    <row r="983" spans="2:2" ht="13.2" x14ac:dyDescent="0.25">
      <c r="B983" s="50"/>
    </row>
    <row r="984" spans="2:2" ht="13.2" x14ac:dyDescent="0.25">
      <c r="B984" s="50"/>
    </row>
    <row r="985" spans="2:2" ht="13.2" x14ac:dyDescent="0.25">
      <c r="B985" s="50"/>
    </row>
    <row r="986" spans="2:2" ht="13.2" x14ac:dyDescent="0.25">
      <c r="B986" s="50"/>
    </row>
    <row r="987" spans="2:2" ht="13.2" x14ac:dyDescent="0.25">
      <c r="B987" s="50"/>
    </row>
    <row r="988" spans="2:2" ht="13.2" x14ac:dyDescent="0.25">
      <c r="B988" s="50"/>
    </row>
    <row r="989" spans="2:2" ht="13.2" x14ac:dyDescent="0.25">
      <c r="B989" s="50"/>
    </row>
    <row r="990" spans="2:2" ht="13.2" x14ac:dyDescent="0.25">
      <c r="B990" s="50"/>
    </row>
    <row r="991" spans="2:2" ht="13.2" x14ac:dyDescent="0.25">
      <c r="B991" s="50"/>
    </row>
    <row r="992" spans="2:2" ht="13.2" x14ac:dyDescent="0.25">
      <c r="B992" s="50"/>
    </row>
    <row r="993" spans="2:2" ht="13.2" x14ac:dyDescent="0.25">
      <c r="B993" s="50"/>
    </row>
    <row r="994" spans="2:2" ht="13.2" x14ac:dyDescent="0.25">
      <c r="B994" s="50"/>
    </row>
    <row r="995" spans="2:2" ht="13.2" x14ac:dyDescent="0.25">
      <c r="B995" s="50"/>
    </row>
    <row r="996" spans="2:2" ht="13.2" x14ac:dyDescent="0.25">
      <c r="B996" s="50"/>
    </row>
    <row r="997" spans="2:2" ht="13.2" x14ac:dyDescent="0.25">
      <c r="B997" s="50"/>
    </row>
    <row r="998" spans="2:2" ht="13.2" x14ac:dyDescent="0.25">
      <c r="B998" s="50"/>
    </row>
    <row r="999" spans="2:2" ht="13.2" x14ac:dyDescent="0.25">
      <c r="B999" s="50"/>
    </row>
    <row r="1000" spans="2:2" ht="13.2" x14ac:dyDescent="0.25">
      <c r="B1000" s="50"/>
    </row>
    <row r="1001" spans="2:2" ht="13.2" x14ac:dyDescent="0.25">
      <c r="B1001" s="50"/>
    </row>
    <row r="1002" spans="2:2" ht="13.2" x14ac:dyDescent="0.25">
      <c r="B1002" s="50"/>
    </row>
    <row r="1003" spans="2:2" ht="13.2" x14ac:dyDescent="0.25">
      <c r="B1003" s="50"/>
    </row>
    <row r="1004" spans="2:2" ht="13.2" x14ac:dyDescent="0.25">
      <c r="B1004" s="50"/>
    </row>
  </sheetData>
  <mergeCells count="28">
    <mergeCell ref="B1:F1"/>
    <mergeCell ref="H1:J1"/>
    <mergeCell ref="A2:A6"/>
    <mergeCell ref="H21:H22"/>
    <mergeCell ref="B22:C22"/>
    <mergeCell ref="A12:A172"/>
    <mergeCell ref="B27:C27"/>
    <mergeCell ref="F65:H65"/>
    <mergeCell ref="B71:R71"/>
    <mergeCell ref="B26:C26"/>
    <mergeCell ref="G26:H26"/>
    <mergeCell ref="G27:H27"/>
    <mergeCell ref="B30:J30"/>
    <mergeCell ref="K30:P30"/>
    <mergeCell ref="B58:P58"/>
    <mergeCell ref="B24:P24"/>
    <mergeCell ref="B11:F11"/>
    <mergeCell ref="L8:M8"/>
    <mergeCell ref="H16:H17"/>
    <mergeCell ref="E15:F15"/>
    <mergeCell ref="B17:F17"/>
    <mergeCell ref="B21:C21"/>
    <mergeCell ref="B19:C20"/>
    <mergeCell ref="B18:C18"/>
    <mergeCell ref="C13:C15"/>
    <mergeCell ref="E13:F13"/>
    <mergeCell ref="B14:B15"/>
    <mergeCell ref="E14:F14"/>
  </mergeCells>
  <conditionalFormatting sqref="E13:F13">
    <cfRule type="expression" dxfId="5" priority="1">
      <formula>B14&lt;0.3</formula>
    </cfRule>
  </conditionalFormatting>
  <conditionalFormatting sqref="E14:F14">
    <cfRule type="expression" dxfId="4" priority="2">
      <formula>AND(B14&lt;1,B14&gt;0.3)</formula>
    </cfRule>
  </conditionalFormatting>
  <conditionalFormatting sqref="E15:F15">
    <cfRule type="expression" dxfId="3" priority="3">
      <formula>B14&gt;1</formula>
    </cfRule>
  </conditionalFormatting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4"/>
  <sheetViews>
    <sheetView tabSelected="1" topLeftCell="B1" zoomScale="90" zoomScaleNormal="90" workbookViewId="0">
      <selection activeCell="K13" sqref="K13"/>
    </sheetView>
  </sheetViews>
  <sheetFormatPr baseColWidth="10" defaultColWidth="14.44140625" defaultRowHeight="15.75" customHeight="1" x14ac:dyDescent="0.25"/>
  <cols>
    <col min="1" max="1" width="6.5546875" customWidth="1"/>
    <col min="2" max="2" width="14.44140625" customWidth="1"/>
    <col min="3" max="3" width="16.88671875" customWidth="1"/>
    <col min="5" max="6" width="14.44140625" customWidth="1"/>
    <col min="13" max="13" width="22.44140625" bestFit="1" customWidth="1"/>
  </cols>
  <sheetData>
    <row r="1" spans="1:26" ht="15.75" customHeight="1" x14ac:dyDescent="0.25">
      <c r="A1" s="1"/>
      <c r="B1" s="75" t="s">
        <v>0</v>
      </c>
      <c r="C1" s="76"/>
      <c r="D1" s="76"/>
      <c r="E1" s="76"/>
      <c r="F1" s="64"/>
      <c r="G1" s="2"/>
      <c r="H1" s="81" t="s">
        <v>1</v>
      </c>
      <c r="I1" s="76"/>
      <c r="J1" s="64"/>
      <c r="K1" s="6"/>
      <c r="L1" s="145" t="s">
        <v>130</v>
      </c>
      <c r="M1" s="154" t="s">
        <v>122</v>
      </c>
      <c r="N1" s="154" t="s">
        <v>125</v>
      </c>
      <c r="O1" s="51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82">
        <v>44200</v>
      </c>
      <c r="B2" s="4"/>
      <c r="C2" s="5" t="s">
        <v>2</v>
      </c>
      <c r="D2" s="5" t="s">
        <v>3</v>
      </c>
      <c r="E2" s="90"/>
      <c r="F2" s="64"/>
      <c r="G2" s="2"/>
      <c r="H2" s="7" t="s">
        <v>4</v>
      </c>
      <c r="I2" s="7" t="s">
        <v>5</v>
      </c>
      <c r="J2" s="8">
        <f>D3</f>
        <v>8.3000000000000007</v>
      </c>
      <c r="K2" s="6"/>
      <c r="L2" s="123"/>
      <c r="M2" s="124">
        <v>0.4</v>
      </c>
      <c r="N2" s="125">
        <f>1-M2</f>
        <v>0.6</v>
      </c>
      <c r="O2" s="51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6.4" x14ac:dyDescent="0.25">
      <c r="A3" s="83"/>
      <c r="B3" s="7" t="s">
        <v>6</v>
      </c>
      <c r="C3" s="9">
        <v>25.11</v>
      </c>
      <c r="D3" s="9">
        <v>8.3000000000000007</v>
      </c>
      <c r="E3" s="2"/>
      <c r="F3" s="2"/>
      <c r="G3" s="2"/>
      <c r="H3" s="7" t="s">
        <v>7</v>
      </c>
      <c r="I3" s="7" t="s">
        <v>8</v>
      </c>
      <c r="J3" s="8">
        <v>0.3</v>
      </c>
      <c r="K3" s="6"/>
      <c r="L3" s="123" t="s">
        <v>123</v>
      </c>
      <c r="M3" s="124">
        <v>85</v>
      </c>
      <c r="N3" s="125"/>
      <c r="O3" s="51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6.4" x14ac:dyDescent="0.25">
      <c r="A4" s="83"/>
      <c r="B4" s="7" t="s">
        <v>10</v>
      </c>
      <c r="C4" s="9">
        <v>9.3000000000000007</v>
      </c>
      <c r="D4" s="9">
        <v>4.25</v>
      </c>
      <c r="E4" s="90"/>
      <c r="F4" s="64"/>
      <c r="G4" s="2"/>
      <c r="H4" s="7" t="s">
        <v>0</v>
      </c>
      <c r="I4" s="7" t="s">
        <v>11</v>
      </c>
      <c r="J4" s="10">
        <f>D6</f>
        <v>1.192236429246589</v>
      </c>
      <c r="K4" s="6"/>
      <c r="L4" s="126" t="s">
        <v>124</v>
      </c>
      <c r="M4" s="127">
        <v>74</v>
      </c>
      <c r="N4" s="125"/>
      <c r="O4" s="51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6.4" x14ac:dyDescent="0.25">
      <c r="A5" s="83"/>
      <c r="B5" s="7" t="s">
        <v>12</v>
      </c>
      <c r="C5" s="9">
        <v>1.18</v>
      </c>
      <c r="D5" s="111">
        <f>N9</f>
        <v>1.0588235294117647</v>
      </c>
      <c r="E5" s="90"/>
      <c r="F5" s="64"/>
      <c r="G5" s="2"/>
      <c r="H5" s="7" t="s">
        <v>13</v>
      </c>
      <c r="I5" s="7" t="s">
        <v>14</v>
      </c>
      <c r="J5" s="8">
        <v>10</v>
      </c>
      <c r="K5" s="6"/>
      <c r="L5" s="117" t="s">
        <v>114</v>
      </c>
      <c r="M5" s="117">
        <f>M4*N2+M2*M3</f>
        <v>78.400000000000006</v>
      </c>
      <c r="N5" s="128"/>
      <c r="O5" s="51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3.2" x14ac:dyDescent="0.25">
      <c r="A6" s="79"/>
      <c r="B6" s="11" t="s">
        <v>11</v>
      </c>
      <c r="C6" s="12">
        <f t="shared" ref="C6:D6" si="0">0.4*C4^0.77/C5^0.385</f>
        <v>2.0898604584054556</v>
      </c>
      <c r="D6" s="12">
        <f t="shared" si="0"/>
        <v>1.192236429246589</v>
      </c>
      <c r="E6" s="90" t="s">
        <v>15</v>
      </c>
      <c r="F6" s="64"/>
      <c r="G6" s="2"/>
      <c r="H6" s="7" t="s">
        <v>16</v>
      </c>
      <c r="I6" s="7" t="s">
        <v>17</v>
      </c>
      <c r="J6" s="8">
        <v>74</v>
      </c>
      <c r="K6" s="6"/>
      <c r="L6" s="129" t="s">
        <v>115</v>
      </c>
      <c r="M6" s="130">
        <v>0.1</v>
      </c>
      <c r="N6" s="132"/>
      <c r="O6" s="51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3.2" x14ac:dyDescent="0.25">
      <c r="A7" s="2"/>
      <c r="B7" s="13"/>
      <c r="C7" s="2"/>
      <c r="D7" s="2"/>
      <c r="E7" s="2"/>
      <c r="F7" s="2"/>
      <c r="G7" s="2"/>
      <c r="H7" s="7" t="s">
        <v>19</v>
      </c>
      <c r="I7" s="7" t="s">
        <v>20</v>
      </c>
      <c r="J7" s="8">
        <f>M5</f>
        <v>78.400000000000006</v>
      </c>
      <c r="K7" s="6"/>
      <c r="L7" s="119" t="s">
        <v>116</v>
      </c>
      <c r="M7" s="119">
        <f>1-M6</f>
        <v>0.9</v>
      </c>
      <c r="N7" s="133"/>
      <c r="O7" s="51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6.4" x14ac:dyDescent="0.25">
      <c r="A8" s="2"/>
      <c r="B8" s="108"/>
      <c r="C8" s="109"/>
      <c r="D8" s="110"/>
      <c r="E8" s="2"/>
      <c r="F8" s="2"/>
      <c r="G8" s="2"/>
      <c r="H8" s="7" t="s">
        <v>21</v>
      </c>
      <c r="I8" s="7" t="s">
        <v>22</v>
      </c>
      <c r="J8" s="98" t="s">
        <v>94</v>
      </c>
      <c r="K8" s="6"/>
      <c r="L8" s="119"/>
      <c r="M8" s="119"/>
      <c r="N8" s="131"/>
      <c r="O8" s="118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25">
      <c r="A9" s="2"/>
      <c r="B9" s="13"/>
      <c r="C9" s="109"/>
      <c r="D9" s="2"/>
      <c r="E9" s="2"/>
      <c r="F9" s="2"/>
      <c r="G9" s="2"/>
      <c r="H9" s="2"/>
      <c r="I9" s="2"/>
      <c r="J9" s="2"/>
      <c r="K9" s="6"/>
      <c r="L9" s="134" t="s">
        <v>109</v>
      </c>
      <c r="M9" s="139" t="s">
        <v>110</v>
      </c>
      <c r="N9" s="141">
        <f>(45/4250)*100</f>
        <v>1.0588235294117647</v>
      </c>
      <c r="O9" s="51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25">
      <c r="A10" s="2"/>
      <c r="B10" s="13"/>
      <c r="C10" s="2"/>
      <c r="D10" s="2"/>
      <c r="E10" s="2"/>
      <c r="F10" s="2"/>
      <c r="G10" s="2"/>
      <c r="H10" s="2"/>
      <c r="I10" s="2"/>
      <c r="J10" s="2"/>
      <c r="K10" s="6"/>
      <c r="L10" s="135"/>
      <c r="M10" s="140" t="s">
        <v>111</v>
      </c>
      <c r="N10" s="142"/>
      <c r="O10" s="51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5">
      <c r="A11" s="15"/>
      <c r="B11" s="75" t="s">
        <v>24</v>
      </c>
      <c r="C11" s="76"/>
      <c r="D11" s="76"/>
      <c r="E11" s="76"/>
      <c r="F11" s="64"/>
      <c r="G11" s="2"/>
      <c r="H11" s="3" t="s">
        <v>87</v>
      </c>
      <c r="I11" s="16"/>
      <c r="J11" s="17"/>
      <c r="K11" s="2"/>
      <c r="L11" s="120" t="s">
        <v>120</v>
      </c>
      <c r="M11" s="121"/>
      <c r="N11" s="12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25">
      <c r="A12" s="82">
        <v>44231</v>
      </c>
      <c r="B12" s="13"/>
      <c r="C12" s="2"/>
      <c r="D12" s="2"/>
      <c r="E12" s="2"/>
      <c r="F12" s="2"/>
      <c r="G12" s="2"/>
      <c r="H12" s="2"/>
      <c r="I12" s="2"/>
      <c r="J12" s="2"/>
      <c r="K12" s="6"/>
      <c r="L12" s="136" t="s">
        <v>121</v>
      </c>
      <c r="M12" s="143">
        <f>0.4*(M13/1000)^0.77/M14^0.385</f>
        <v>1.192236429246589</v>
      </c>
      <c r="N12" s="51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5">
      <c r="A13" s="83"/>
      <c r="B13" s="18" t="s">
        <v>11</v>
      </c>
      <c r="C13" s="69" t="s">
        <v>26</v>
      </c>
      <c r="D13" s="19" t="s">
        <v>27</v>
      </c>
      <c r="E13" s="71" t="s">
        <v>28</v>
      </c>
      <c r="F13" s="64"/>
      <c r="G13" s="2"/>
      <c r="H13" s="7" t="s">
        <v>29</v>
      </c>
      <c r="I13" s="20" t="s">
        <v>30</v>
      </c>
      <c r="J13" s="21">
        <f>0.5786-0.4312*LOG(LN(J5/(J5-1)))</f>
        <v>1.0000212949130891</v>
      </c>
      <c r="K13" s="6"/>
      <c r="L13" s="144" t="s">
        <v>117</v>
      </c>
      <c r="M13" s="125">
        <v>4250</v>
      </c>
      <c r="N13" s="51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0.6" customHeight="1" x14ac:dyDescent="0.25">
      <c r="A14" s="83"/>
      <c r="B14" s="72">
        <f>J4</f>
        <v>1.192236429246589</v>
      </c>
      <c r="C14" s="70"/>
      <c r="D14" s="19" t="s">
        <v>31</v>
      </c>
      <c r="E14" s="86" t="s">
        <v>32</v>
      </c>
      <c r="F14" s="91"/>
      <c r="G14" s="92"/>
      <c r="H14" s="7" t="s">
        <v>33</v>
      </c>
      <c r="I14" s="20" t="s">
        <v>34</v>
      </c>
      <c r="J14" s="21">
        <f>IF(E20&lt;3,0.6208*E20/(E20+0.0137)^0.5639,1.0287*E20/(E20+1.0293)^0.8083)</f>
        <v>0.66597090880378196</v>
      </c>
      <c r="K14" s="6"/>
      <c r="L14" s="123" t="s">
        <v>119</v>
      </c>
      <c r="M14" s="125">
        <f>M15/M13*100</f>
        <v>1.0588235294117647</v>
      </c>
      <c r="N14" s="51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5">
      <c r="A15" s="83"/>
      <c r="B15" s="73"/>
      <c r="C15" s="68"/>
      <c r="D15" s="19" t="s">
        <v>35</v>
      </c>
      <c r="E15" s="71" t="s">
        <v>36</v>
      </c>
      <c r="F15" s="64"/>
      <c r="G15" s="2"/>
      <c r="H15" s="7" t="s">
        <v>37</v>
      </c>
      <c r="I15" s="20" t="s">
        <v>38</v>
      </c>
      <c r="J15" s="21">
        <f>1-(0.3549*E20^(-0.4272))*(1-EXP(-0.005792*J2))</f>
        <v>0.98454769034039014</v>
      </c>
      <c r="K15" s="6"/>
      <c r="L15" s="137" t="s">
        <v>118</v>
      </c>
      <c r="M15" s="138">
        <f>88-43</f>
        <v>45</v>
      </c>
      <c r="N15" s="51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5">
      <c r="A16" s="83"/>
      <c r="B16" s="13"/>
      <c r="C16" s="2"/>
      <c r="D16" s="2"/>
      <c r="E16" s="2"/>
      <c r="F16" s="2"/>
      <c r="G16" s="2"/>
      <c r="H16" s="78" t="s">
        <v>39</v>
      </c>
      <c r="I16" s="22" t="s">
        <v>40</v>
      </c>
      <c r="J16" s="12">
        <f>J6*J13*J14</f>
        <v>49.282896704133961</v>
      </c>
      <c r="K16" s="2"/>
      <c r="L16" s="116"/>
      <c r="M16" s="5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5">
      <c r="A17" s="83"/>
      <c r="B17" s="80" t="s">
        <v>28</v>
      </c>
      <c r="C17" s="76"/>
      <c r="D17" s="76"/>
      <c r="E17" s="76"/>
      <c r="F17" s="64"/>
      <c r="G17" s="2"/>
      <c r="H17" s="79"/>
      <c r="I17" s="23" t="s">
        <v>41</v>
      </c>
      <c r="J17" s="24">
        <f>J6*J13*J14*J15</f>
        <v>48.521362123339117</v>
      </c>
      <c r="K17" s="2"/>
      <c r="L17" s="2"/>
      <c r="M17" s="2"/>
      <c r="N17" s="147" t="s">
        <v>127</v>
      </c>
      <c r="O17" s="148"/>
      <c r="P17" s="148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83"/>
      <c r="B18" s="63" t="s">
        <v>42</v>
      </c>
      <c r="C18" s="64"/>
      <c r="D18" s="5" t="s">
        <v>8</v>
      </c>
      <c r="E18" s="5">
        <f>J3</f>
        <v>0.3</v>
      </c>
      <c r="F18" s="25"/>
      <c r="G18" s="2"/>
      <c r="H18" s="99"/>
      <c r="I18" s="100"/>
      <c r="J18" s="101"/>
      <c r="K18" s="2"/>
      <c r="L18" s="112"/>
      <c r="M18" s="112"/>
      <c r="N18" s="147" t="s">
        <v>128</v>
      </c>
      <c r="O18" s="148"/>
      <c r="P18" s="148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83"/>
      <c r="B19" s="65" t="s">
        <v>43</v>
      </c>
      <c r="C19" s="66"/>
      <c r="D19" s="5" t="s">
        <v>44</v>
      </c>
      <c r="E19" s="29">
        <f>J17/E20</f>
        <v>40.697768440108192</v>
      </c>
      <c r="F19" s="25"/>
      <c r="G19" s="6"/>
      <c r="H19" s="104" t="s">
        <v>92</v>
      </c>
      <c r="I19" s="105" t="s">
        <v>107</v>
      </c>
      <c r="J19" s="106" t="s">
        <v>108</v>
      </c>
      <c r="K19" s="149"/>
      <c r="L19" s="153" t="str">
        <f>N46</f>
        <v>Vol Escorrentia</v>
      </c>
      <c r="M19" s="152">
        <f>O46</f>
        <v>160722.78334111359</v>
      </c>
      <c r="N19" s="150" t="s">
        <v>129</v>
      </c>
      <c r="O19" s="148"/>
      <c r="P19" s="148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83"/>
      <c r="B20" s="67"/>
      <c r="C20" s="68"/>
      <c r="D20" s="5" t="s">
        <v>45</v>
      </c>
      <c r="E20" s="29">
        <f>J4</f>
        <v>1.192236429246589</v>
      </c>
      <c r="F20" s="25"/>
      <c r="G20" s="6"/>
      <c r="H20" s="107"/>
      <c r="I20" s="106">
        <f>R74</f>
        <v>31.0336487283531</v>
      </c>
      <c r="J20" s="106">
        <f>E22</f>
        <v>28.149289837741499</v>
      </c>
      <c r="K20" s="149"/>
      <c r="L20" s="153" t="str">
        <f>N47</f>
        <v>m3</v>
      </c>
      <c r="M20" s="151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83"/>
      <c r="B21" s="63" t="s">
        <v>46</v>
      </c>
      <c r="C21" s="64"/>
      <c r="D21" s="5" t="s">
        <v>47</v>
      </c>
      <c r="E21" s="5">
        <f>J2*100</f>
        <v>830.00000000000011</v>
      </c>
      <c r="F21" s="25" t="s">
        <v>48</v>
      </c>
      <c r="G21" s="2"/>
      <c r="H21" s="102" t="s">
        <v>36</v>
      </c>
      <c r="I21" s="146" t="s">
        <v>126</v>
      </c>
      <c r="J21" s="103"/>
      <c r="K21" s="2"/>
      <c r="L21" s="5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83"/>
      <c r="B22" s="85" t="s">
        <v>49</v>
      </c>
      <c r="C22" s="64"/>
      <c r="D22" s="32" t="s">
        <v>50</v>
      </c>
      <c r="E22" s="33">
        <f>E18*E19*E21/360</f>
        <v>28.149289837741499</v>
      </c>
      <c r="F22" s="2"/>
      <c r="G22" s="2"/>
      <c r="H22" s="79"/>
      <c r="I22" s="30"/>
      <c r="J22" s="31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83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83"/>
      <c r="B24" s="89" t="s">
        <v>36</v>
      </c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64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83"/>
      <c r="B25" s="13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83"/>
      <c r="B26" s="86" t="s">
        <v>51</v>
      </c>
      <c r="C26" s="64"/>
      <c r="D26" s="20" t="s">
        <v>23</v>
      </c>
      <c r="E26" s="21">
        <f>J4/7</f>
        <v>0.17031948989236986</v>
      </c>
      <c r="F26" s="2"/>
      <c r="G26" s="86" t="s">
        <v>21</v>
      </c>
      <c r="H26" s="64"/>
      <c r="I26" s="7" t="str">
        <f>J8</f>
        <v>C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2" x14ac:dyDescent="0.25">
      <c r="A27" s="83"/>
      <c r="B27" s="86" t="s">
        <v>52</v>
      </c>
      <c r="C27" s="64"/>
      <c r="D27" s="20" t="s">
        <v>53</v>
      </c>
      <c r="E27" s="21">
        <f>25.4*(1000/J7-10)</f>
        <v>69.979591836734656</v>
      </c>
      <c r="G27" s="86" t="s">
        <v>54</v>
      </c>
      <c r="H27" s="64"/>
      <c r="I27" s="7">
        <f>IF(I26="A",2.4,1.2)</f>
        <v>1.2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2" x14ac:dyDescent="0.25">
      <c r="A28" s="83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2" x14ac:dyDescent="0.25">
      <c r="A29" s="83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2" x14ac:dyDescent="0.25">
      <c r="A30" s="83"/>
      <c r="B30" s="87" t="s">
        <v>55</v>
      </c>
      <c r="C30" s="76"/>
      <c r="D30" s="76"/>
      <c r="E30" s="76"/>
      <c r="F30" s="76"/>
      <c r="G30" s="76"/>
      <c r="H30" s="76"/>
      <c r="I30" s="76"/>
      <c r="J30" s="64"/>
      <c r="K30" s="88" t="s">
        <v>56</v>
      </c>
      <c r="L30" s="76"/>
      <c r="M30" s="76"/>
      <c r="N30" s="76"/>
      <c r="O30" s="76"/>
      <c r="P30" s="64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39.6" x14ac:dyDescent="0.25">
      <c r="A31" s="83"/>
      <c r="B31" s="34" t="s">
        <v>23</v>
      </c>
      <c r="C31" s="34" t="s">
        <v>57</v>
      </c>
      <c r="D31" s="34" t="s">
        <v>88</v>
      </c>
      <c r="E31" s="34" t="s">
        <v>34</v>
      </c>
      <c r="F31" s="34" t="s">
        <v>30</v>
      </c>
      <c r="G31" s="34" t="s">
        <v>38</v>
      </c>
      <c r="H31" s="34" t="s">
        <v>89</v>
      </c>
      <c r="I31" s="34" t="s">
        <v>60</v>
      </c>
      <c r="J31" s="34" t="s">
        <v>61</v>
      </c>
      <c r="K31" s="34" t="s">
        <v>62</v>
      </c>
      <c r="L31" s="34" t="s">
        <v>63</v>
      </c>
      <c r="M31" s="34" t="s">
        <v>64</v>
      </c>
      <c r="N31" s="34" t="s">
        <v>90</v>
      </c>
      <c r="O31" s="34" t="s">
        <v>91</v>
      </c>
      <c r="P31" s="34" t="s">
        <v>67</v>
      </c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spans="1:26" ht="13.2" x14ac:dyDescent="0.25">
      <c r="A32" s="83"/>
      <c r="B32" s="5">
        <v>1</v>
      </c>
      <c r="C32" s="36">
        <f t="shared" ref="C32:C43" si="1">B32*$E$26</f>
        <v>0.17031948989236986</v>
      </c>
      <c r="D32" s="29">
        <f t="shared" ref="D32:D43" si="2">$J$6</f>
        <v>74</v>
      </c>
      <c r="E32" s="29">
        <f t="shared" ref="E32:E43" si="3">IF(C32&lt;3,0.6208*C32/(C32+0.0137)^0.5639,1.0287*C32/(C32+1.0293)^0.8083)</f>
        <v>0.27463718973956436</v>
      </c>
      <c r="F32" s="29">
        <f t="shared" ref="F32:F43" si="4">0.5786-0.4312*LOG(LN($J$5/($J$5-1)))</f>
        <v>1.0000212949130891</v>
      </c>
      <c r="G32" s="29">
        <f t="shared" ref="G32:G43" si="5">1-(0.3549*C32^(-0.4272))*(1-EXP(-0.005792*$J$2))</f>
        <v>0.96451708544888159</v>
      </c>
      <c r="H32" s="29">
        <f t="shared" ref="H32:H43" si="6">D32*E32*F32*G32</f>
        <v>19.60244479692652</v>
      </c>
      <c r="I32" s="29">
        <f>H32</f>
        <v>19.60244479692652</v>
      </c>
      <c r="J32" s="37">
        <f>I43</f>
        <v>2.3471801156001959</v>
      </c>
      <c r="K32" s="29">
        <f>J32</f>
        <v>2.3471801156001959</v>
      </c>
      <c r="L32" s="29">
        <f t="shared" ref="L32:L43" si="7">IF(K32&lt;=0.2*$E$27,0,(K32-0.2*$E$27)^2/(K32+0.8*$E$27))</f>
        <v>0</v>
      </c>
      <c r="M32" s="29">
        <f>L32</f>
        <v>0</v>
      </c>
      <c r="N32" s="29">
        <f t="shared" ref="N32:N43" si="8">J32-M32</f>
        <v>2.3471801156001959</v>
      </c>
      <c r="O32" s="29">
        <f t="shared" ref="O32:O43" si="9">N32/$C$32</f>
        <v>13.781042422587406</v>
      </c>
      <c r="P32" s="29">
        <f t="shared" ref="P32:P43" si="10">IF(O32&gt;=$I$27,M32,J32-$I$27*$C$32)</f>
        <v>0</v>
      </c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2" x14ac:dyDescent="0.25">
      <c r="A33" s="83"/>
      <c r="B33" s="5">
        <v>2</v>
      </c>
      <c r="C33" s="36">
        <f t="shared" si="1"/>
        <v>0.34063897978473973</v>
      </c>
      <c r="D33" s="29">
        <f t="shared" si="2"/>
        <v>74</v>
      </c>
      <c r="E33" s="29">
        <f t="shared" si="3"/>
        <v>0.37960219653671984</v>
      </c>
      <c r="F33" s="29">
        <f t="shared" si="4"/>
        <v>1.0000212949130891</v>
      </c>
      <c r="G33" s="29">
        <f t="shared" si="5"/>
        <v>0.97361122250616106</v>
      </c>
      <c r="H33" s="29">
        <f t="shared" si="6"/>
        <v>27.349869339762762</v>
      </c>
      <c r="I33" s="29">
        <f t="shared" ref="I33:I43" si="11">H33-H32</f>
        <v>7.7474245428362423</v>
      </c>
      <c r="J33" s="37">
        <f>I41</f>
        <v>2.6170842714009055</v>
      </c>
      <c r="K33" s="29">
        <f t="shared" ref="K33:K43" si="12">J33+K32</f>
        <v>4.9642643870011014</v>
      </c>
      <c r="L33" s="29">
        <f t="shared" si="7"/>
        <v>0</v>
      </c>
      <c r="M33" s="29">
        <f t="shared" ref="M33:M43" si="13">L33-L32</f>
        <v>0</v>
      </c>
      <c r="N33" s="29">
        <f t="shared" si="8"/>
        <v>2.6170842714009055</v>
      </c>
      <c r="O33" s="29">
        <f t="shared" si="9"/>
        <v>15.365735730272101</v>
      </c>
      <c r="P33" s="29">
        <f t="shared" si="10"/>
        <v>0</v>
      </c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2" x14ac:dyDescent="0.25">
      <c r="A34" s="83"/>
      <c r="B34" s="5">
        <v>3</v>
      </c>
      <c r="C34" s="36">
        <f t="shared" si="1"/>
        <v>0.51095846967710956</v>
      </c>
      <c r="D34" s="29">
        <f t="shared" si="2"/>
        <v>74</v>
      </c>
      <c r="E34" s="29">
        <f t="shared" si="3"/>
        <v>0.45635083155483019</v>
      </c>
      <c r="F34" s="29">
        <f t="shared" si="4"/>
        <v>1.0000212949130891</v>
      </c>
      <c r="G34" s="29">
        <f t="shared" si="5"/>
        <v>0.97780817160813782</v>
      </c>
      <c r="H34" s="29">
        <f t="shared" si="6"/>
        <v>33.021247513493613</v>
      </c>
      <c r="I34" s="29">
        <f t="shared" si="11"/>
        <v>5.6713781737308508</v>
      </c>
      <c r="J34" s="37">
        <f>I39</f>
        <v>2.995460491284291</v>
      </c>
      <c r="K34" s="29">
        <f t="shared" si="12"/>
        <v>7.9597248782853924</v>
      </c>
      <c r="L34" s="29">
        <f t="shared" si="7"/>
        <v>0</v>
      </c>
      <c r="M34" s="29">
        <f t="shared" si="13"/>
        <v>0</v>
      </c>
      <c r="N34" s="29">
        <f t="shared" si="8"/>
        <v>2.995460491284291</v>
      </c>
      <c r="O34" s="29">
        <f t="shared" si="9"/>
        <v>17.587303092424801</v>
      </c>
      <c r="P34" s="29">
        <f t="shared" si="10"/>
        <v>0</v>
      </c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2" x14ac:dyDescent="0.25">
      <c r="A35" s="83"/>
      <c r="B35" s="5">
        <v>4</v>
      </c>
      <c r="C35" s="36">
        <f t="shared" si="1"/>
        <v>0.68127795956947945</v>
      </c>
      <c r="D35" s="29">
        <f t="shared" si="2"/>
        <v>74</v>
      </c>
      <c r="E35" s="29">
        <f t="shared" si="3"/>
        <v>0.51926444007561101</v>
      </c>
      <c r="F35" s="29">
        <f t="shared" si="4"/>
        <v>1.0000212949130891</v>
      </c>
      <c r="G35" s="29">
        <f t="shared" si="5"/>
        <v>0.98037456656453292</v>
      </c>
      <c r="H35" s="29">
        <f t="shared" si="6"/>
        <v>37.672252337747551</v>
      </c>
      <c r="I35" s="29">
        <f t="shared" si="11"/>
        <v>4.6510048242539384</v>
      </c>
      <c r="J35" s="37">
        <f>I37</f>
        <v>3.5790519215085936</v>
      </c>
      <c r="K35" s="29">
        <f t="shared" si="12"/>
        <v>11.538776799793986</v>
      </c>
      <c r="L35" s="29">
        <f t="shared" si="7"/>
        <v>0</v>
      </c>
      <c r="M35" s="29">
        <f t="shared" si="13"/>
        <v>0</v>
      </c>
      <c r="N35" s="29">
        <f t="shared" si="8"/>
        <v>3.5790519215085936</v>
      </c>
      <c r="O35" s="29">
        <f t="shared" si="9"/>
        <v>21.013754349371919</v>
      </c>
      <c r="P35" s="29">
        <f t="shared" si="10"/>
        <v>0</v>
      </c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2" x14ac:dyDescent="0.25">
      <c r="A36" s="83"/>
      <c r="B36" s="5">
        <v>5</v>
      </c>
      <c r="C36" s="36">
        <f t="shared" si="1"/>
        <v>0.85159744946184934</v>
      </c>
      <c r="D36" s="29">
        <f t="shared" si="2"/>
        <v>74</v>
      </c>
      <c r="E36" s="29">
        <f t="shared" si="3"/>
        <v>0.57361232982112142</v>
      </c>
      <c r="F36" s="29">
        <f t="shared" si="4"/>
        <v>1.0000212949130891</v>
      </c>
      <c r="G36" s="29">
        <f t="shared" si="5"/>
        <v>0.9821589956326251</v>
      </c>
      <c r="H36" s="29">
        <f t="shared" si="6"/>
        <v>41.690897505864285</v>
      </c>
      <c r="I36" s="29">
        <f t="shared" si="11"/>
        <v>4.0186451681167341</v>
      </c>
      <c r="J36" s="37">
        <f>I35</f>
        <v>4.6510048242539384</v>
      </c>
      <c r="K36" s="29">
        <f t="shared" si="12"/>
        <v>16.189781624047924</v>
      </c>
      <c r="L36" s="29">
        <f t="shared" si="7"/>
        <v>6.6687066358008473E-2</v>
      </c>
      <c r="M36" s="29">
        <f t="shared" si="13"/>
        <v>6.6687066358008473E-2</v>
      </c>
      <c r="N36" s="29">
        <f t="shared" si="8"/>
        <v>4.5843177578959295</v>
      </c>
      <c r="O36" s="29">
        <f t="shared" si="9"/>
        <v>26.915990417731415</v>
      </c>
      <c r="P36" s="29">
        <f t="shared" si="10"/>
        <v>6.6687066358008473E-2</v>
      </c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2" x14ac:dyDescent="0.25">
      <c r="A37" s="83"/>
      <c r="B37" s="5">
        <v>6</v>
      </c>
      <c r="C37" s="36">
        <f t="shared" si="1"/>
        <v>1.0219169393542191</v>
      </c>
      <c r="D37" s="29">
        <f t="shared" si="2"/>
        <v>74</v>
      </c>
      <c r="E37" s="29">
        <f t="shared" si="3"/>
        <v>0.62200877022426071</v>
      </c>
      <c r="F37" s="29">
        <f t="shared" si="4"/>
        <v>1.0000212949130891</v>
      </c>
      <c r="G37" s="29">
        <f t="shared" si="5"/>
        <v>0.98349585345446633</v>
      </c>
      <c r="H37" s="29">
        <f t="shared" si="6"/>
        <v>45.269949427372879</v>
      </c>
      <c r="I37" s="29">
        <f t="shared" si="11"/>
        <v>3.5790519215085936</v>
      </c>
      <c r="J37" s="37">
        <f>I33</f>
        <v>7.7474245428362423</v>
      </c>
      <c r="K37" s="29">
        <f t="shared" si="12"/>
        <v>23.937206166884167</v>
      </c>
      <c r="L37" s="29">
        <f t="shared" si="7"/>
        <v>1.2365880300993897</v>
      </c>
      <c r="M37" s="29">
        <f t="shared" si="13"/>
        <v>1.1699009637413811</v>
      </c>
      <c r="N37" s="29">
        <f t="shared" si="8"/>
        <v>6.5775235790948612</v>
      </c>
      <c r="O37" s="29">
        <f t="shared" si="9"/>
        <v>38.61873695870861</v>
      </c>
      <c r="P37" s="29">
        <f t="shared" si="10"/>
        <v>1.1699009637413811</v>
      </c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2" x14ac:dyDescent="0.25">
      <c r="A38" s="83"/>
      <c r="B38" s="5">
        <v>7</v>
      </c>
      <c r="C38" s="36">
        <f t="shared" si="1"/>
        <v>1.192236429246589</v>
      </c>
      <c r="D38" s="29">
        <f t="shared" si="2"/>
        <v>74</v>
      </c>
      <c r="E38" s="29">
        <f t="shared" si="3"/>
        <v>0.66597090880378196</v>
      </c>
      <c r="F38" s="29">
        <f t="shared" si="4"/>
        <v>1.0000212949130891</v>
      </c>
      <c r="G38" s="29">
        <f t="shared" si="5"/>
        <v>0.98454769034039014</v>
      </c>
      <c r="H38" s="29">
        <f t="shared" si="6"/>
        <v>48.521362123339117</v>
      </c>
      <c r="I38" s="29">
        <f t="shared" si="11"/>
        <v>3.2514126959662377</v>
      </c>
      <c r="J38" s="37">
        <f>I32</f>
        <v>19.60244479692652</v>
      </c>
      <c r="K38" s="29">
        <f t="shared" si="12"/>
        <v>43.539650963810686</v>
      </c>
      <c r="L38" s="29">
        <f t="shared" si="7"/>
        <v>8.7701264070736844</v>
      </c>
      <c r="M38" s="29">
        <f t="shared" si="13"/>
        <v>7.5335383769742945</v>
      </c>
      <c r="N38" s="29">
        <f t="shared" si="8"/>
        <v>12.068906419952224</v>
      </c>
      <c r="O38" s="29">
        <f t="shared" si="9"/>
        <v>70.860395528303528</v>
      </c>
      <c r="P38" s="29">
        <f t="shared" si="10"/>
        <v>7.5335383769742945</v>
      </c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2" x14ac:dyDescent="0.25">
      <c r="A39" s="83"/>
      <c r="B39" s="5">
        <v>8</v>
      </c>
      <c r="C39" s="36">
        <f t="shared" si="1"/>
        <v>1.3625559191389589</v>
      </c>
      <c r="D39" s="29">
        <f t="shared" si="2"/>
        <v>74</v>
      </c>
      <c r="E39" s="29">
        <f t="shared" si="3"/>
        <v>0.70646973933050439</v>
      </c>
      <c r="F39" s="29">
        <f t="shared" si="4"/>
        <v>1.0000212949130891</v>
      </c>
      <c r="G39" s="29">
        <f t="shared" si="5"/>
        <v>0.98540449107125661</v>
      </c>
      <c r="H39" s="29">
        <f t="shared" si="6"/>
        <v>51.516822614623408</v>
      </c>
      <c r="I39" s="29">
        <f t="shared" si="11"/>
        <v>2.995460491284291</v>
      </c>
      <c r="J39" s="37">
        <f>I34</f>
        <v>5.6713781737308508</v>
      </c>
      <c r="K39" s="29">
        <f t="shared" si="12"/>
        <v>49.211029137541537</v>
      </c>
      <c r="L39" s="29">
        <f t="shared" si="7"/>
        <v>11.788654711928331</v>
      </c>
      <c r="M39" s="29">
        <f t="shared" si="13"/>
        <v>3.0185283048546463</v>
      </c>
      <c r="N39" s="29">
        <f t="shared" si="8"/>
        <v>2.6528498688762046</v>
      </c>
      <c r="O39" s="29">
        <f t="shared" si="9"/>
        <v>15.575726950289848</v>
      </c>
      <c r="P39" s="29">
        <f t="shared" si="10"/>
        <v>3.0185283048546463</v>
      </c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2" x14ac:dyDescent="0.25">
      <c r="A40" s="83"/>
      <c r="B40" s="5">
        <v>9</v>
      </c>
      <c r="C40" s="36">
        <f t="shared" si="1"/>
        <v>1.5328754090313288</v>
      </c>
      <c r="D40" s="29">
        <f t="shared" si="2"/>
        <v>74</v>
      </c>
      <c r="E40" s="29">
        <f t="shared" si="3"/>
        <v>0.74417007483436337</v>
      </c>
      <c r="F40" s="29">
        <f t="shared" si="4"/>
        <v>1.0000212949130891</v>
      </c>
      <c r="G40" s="29">
        <f t="shared" si="5"/>
        <v>0.98612072165987452</v>
      </c>
      <c r="H40" s="29">
        <f t="shared" si="6"/>
        <v>54.305429716048081</v>
      </c>
      <c r="I40" s="29">
        <f t="shared" si="11"/>
        <v>2.7886071014246738</v>
      </c>
      <c r="J40" s="37">
        <f>I36</f>
        <v>4.0186451681167341</v>
      </c>
      <c r="K40" s="29">
        <f t="shared" si="12"/>
        <v>53.229674305658271</v>
      </c>
      <c r="L40" s="29">
        <f t="shared" si="7"/>
        <v>14.094317557205127</v>
      </c>
      <c r="M40" s="29">
        <f t="shared" si="13"/>
        <v>2.305662845276796</v>
      </c>
      <c r="N40" s="29">
        <f t="shared" si="8"/>
        <v>1.7129823228399381</v>
      </c>
      <c r="O40" s="29">
        <f t="shared" si="9"/>
        <v>10.057465084720629</v>
      </c>
      <c r="P40" s="29">
        <f t="shared" si="10"/>
        <v>2.305662845276796</v>
      </c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2" x14ac:dyDescent="0.25">
      <c r="A41" s="83"/>
      <c r="B41" s="5">
        <v>10</v>
      </c>
      <c r="C41" s="36">
        <f t="shared" si="1"/>
        <v>1.7031948989236987</v>
      </c>
      <c r="D41" s="29">
        <f t="shared" si="2"/>
        <v>74</v>
      </c>
      <c r="E41" s="29">
        <f t="shared" si="3"/>
        <v>0.77955018282678201</v>
      </c>
      <c r="F41" s="29">
        <f t="shared" si="4"/>
        <v>1.0000212949130891</v>
      </c>
      <c r="G41" s="29">
        <f t="shared" si="5"/>
        <v>0.98673157770512332</v>
      </c>
      <c r="H41" s="29">
        <f t="shared" si="6"/>
        <v>56.922513987448987</v>
      </c>
      <c r="I41" s="29">
        <f t="shared" si="11"/>
        <v>2.6170842714009055</v>
      </c>
      <c r="J41" s="37">
        <f>I38</f>
        <v>3.2514126959662377</v>
      </c>
      <c r="K41" s="29">
        <f t="shared" si="12"/>
        <v>56.481087001624509</v>
      </c>
      <c r="L41" s="29">
        <f t="shared" si="7"/>
        <v>16.049378901653725</v>
      </c>
      <c r="M41" s="29">
        <f t="shared" si="13"/>
        <v>1.9550613444485982</v>
      </c>
      <c r="N41" s="29">
        <f t="shared" si="8"/>
        <v>1.2963513515176395</v>
      </c>
      <c r="O41" s="29">
        <f t="shared" si="9"/>
        <v>7.6112918864238255</v>
      </c>
      <c r="P41" s="29">
        <f t="shared" si="10"/>
        <v>1.9550613444485982</v>
      </c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2" x14ac:dyDescent="0.25">
      <c r="A42" s="83"/>
      <c r="B42" s="5">
        <v>11</v>
      </c>
      <c r="C42" s="36">
        <f t="shared" si="1"/>
        <v>1.8735143888160686</v>
      </c>
      <c r="D42" s="29">
        <f t="shared" si="2"/>
        <v>74</v>
      </c>
      <c r="E42" s="29">
        <f t="shared" si="3"/>
        <v>0.81296742557313473</v>
      </c>
      <c r="F42" s="29">
        <f t="shared" si="4"/>
        <v>1.0000212949130891</v>
      </c>
      <c r="G42" s="29">
        <f t="shared" si="5"/>
        <v>0.98726097088228715</v>
      </c>
      <c r="H42" s="29">
        <f t="shared" si="6"/>
        <v>59.394479503504236</v>
      </c>
      <c r="I42" s="29">
        <f t="shared" si="11"/>
        <v>2.4719655160552492</v>
      </c>
      <c r="J42" s="37">
        <f>I40</f>
        <v>2.7886071014246738</v>
      </c>
      <c r="K42" s="29">
        <f t="shared" si="12"/>
        <v>59.269694103049183</v>
      </c>
      <c r="L42" s="29">
        <f t="shared" si="7"/>
        <v>17.784424113060414</v>
      </c>
      <c r="M42" s="29">
        <f t="shared" si="13"/>
        <v>1.735045211406689</v>
      </c>
      <c r="N42" s="29">
        <f t="shared" si="8"/>
        <v>1.0535618900179848</v>
      </c>
      <c r="O42" s="29">
        <f t="shared" si="9"/>
        <v>6.1857975894817621</v>
      </c>
      <c r="P42" s="29">
        <f t="shared" si="10"/>
        <v>1.735045211406689</v>
      </c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2" x14ac:dyDescent="0.25">
      <c r="A43" s="83"/>
      <c r="B43" s="5">
        <v>12</v>
      </c>
      <c r="C43" s="36">
        <f t="shared" si="1"/>
        <v>2.0438338787084382</v>
      </c>
      <c r="D43" s="29">
        <f t="shared" si="2"/>
        <v>74</v>
      </c>
      <c r="E43" s="29">
        <f t="shared" si="3"/>
        <v>0.84469696077642131</v>
      </c>
      <c r="F43" s="29">
        <f t="shared" si="4"/>
        <v>1.0000212949130891</v>
      </c>
      <c r="G43" s="29">
        <f t="shared" si="5"/>
        <v>0.98772580391364517</v>
      </c>
      <c r="H43" s="29">
        <f t="shared" si="6"/>
        <v>61.741659619104432</v>
      </c>
      <c r="I43" s="29">
        <f t="shared" si="11"/>
        <v>2.3471801156001959</v>
      </c>
      <c r="J43" s="37">
        <f>I42</f>
        <v>2.4719655160552492</v>
      </c>
      <c r="K43" s="29">
        <f t="shared" si="12"/>
        <v>61.741659619104432</v>
      </c>
      <c r="L43" s="29">
        <f t="shared" si="7"/>
        <v>19.364190763989587</v>
      </c>
      <c r="M43" s="29">
        <f t="shared" si="13"/>
        <v>1.579766650929173</v>
      </c>
      <c r="N43" s="29">
        <f t="shared" si="8"/>
        <v>0.89219886512607616</v>
      </c>
      <c r="O43" s="29">
        <f t="shared" si="9"/>
        <v>5.2383838496104245</v>
      </c>
      <c r="P43" s="29">
        <f t="shared" si="10"/>
        <v>1.579766650929173</v>
      </c>
      <c r="Q43" s="14"/>
      <c r="R43" s="14"/>
      <c r="S43" s="2"/>
      <c r="T43" s="2"/>
      <c r="U43" s="2"/>
      <c r="V43" s="2"/>
      <c r="W43" s="2"/>
      <c r="X43" s="2"/>
      <c r="Y43" s="2"/>
      <c r="Z43" s="2"/>
    </row>
    <row r="44" spans="1:26" ht="13.2" x14ac:dyDescent="0.25">
      <c r="A44" s="83"/>
      <c r="B44" s="13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115">
        <f>SUM(P32:P43)</f>
        <v>19.364190763989587</v>
      </c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2" x14ac:dyDescent="0.25">
      <c r="A45" s="83"/>
      <c r="B45" s="13"/>
      <c r="C45" s="2"/>
      <c r="D45" s="2"/>
      <c r="E45" s="2"/>
      <c r="F45" s="2"/>
      <c r="G45" s="2"/>
      <c r="H45" s="38"/>
      <c r="I45" s="38"/>
      <c r="J45" s="38"/>
      <c r="K45" s="38"/>
      <c r="L45" s="2"/>
      <c r="M45" s="2"/>
      <c r="N45" s="112"/>
      <c r="O45" s="11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6.4" x14ac:dyDescent="0.25">
      <c r="A46" s="83"/>
      <c r="B46" s="13"/>
      <c r="C46" s="2"/>
      <c r="D46" s="2"/>
      <c r="E46" s="2"/>
      <c r="F46" s="2"/>
      <c r="G46" s="2"/>
      <c r="H46" s="38"/>
      <c r="I46" s="38"/>
      <c r="J46" s="38"/>
      <c r="K46" s="38"/>
      <c r="L46" s="2"/>
      <c r="M46" s="6"/>
      <c r="N46" s="113" t="s">
        <v>112</v>
      </c>
      <c r="O46" s="114">
        <f>P44*J2*1000</f>
        <v>160722.78334111359</v>
      </c>
      <c r="P46" s="51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2" x14ac:dyDescent="0.25">
      <c r="A47" s="83"/>
      <c r="B47" s="13"/>
      <c r="C47" s="2"/>
      <c r="D47" s="2"/>
      <c r="E47" s="2"/>
      <c r="F47" s="2"/>
      <c r="G47" s="2"/>
      <c r="H47" s="38"/>
      <c r="I47" s="38"/>
      <c r="J47" s="38"/>
      <c r="K47" s="38"/>
      <c r="L47" s="2"/>
      <c r="M47" s="2"/>
      <c r="N47" s="113" t="s">
        <v>113</v>
      </c>
      <c r="O47" s="5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2" x14ac:dyDescent="0.25">
      <c r="A48" s="83"/>
      <c r="B48" s="13"/>
      <c r="C48" s="2"/>
      <c r="D48" s="2"/>
      <c r="E48" s="2"/>
      <c r="F48" s="2"/>
      <c r="G48" s="2"/>
      <c r="H48" s="38"/>
      <c r="I48" s="38"/>
      <c r="J48" s="38"/>
      <c r="K48" s="3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2" x14ac:dyDescent="0.25">
      <c r="A49" s="83"/>
      <c r="B49" s="13"/>
      <c r="C49" s="2"/>
      <c r="D49" s="2"/>
      <c r="E49" s="2"/>
      <c r="F49" s="2"/>
      <c r="G49" s="2"/>
      <c r="H49" s="38"/>
      <c r="I49" s="38"/>
      <c r="J49" s="38"/>
      <c r="K49" s="3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2" x14ac:dyDescent="0.25">
      <c r="A50" s="83"/>
      <c r="B50" s="13"/>
      <c r="C50" s="2"/>
      <c r="D50" s="2"/>
      <c r="E50" s="2"/>
      <c r="F50" s="2"/>
      <c r="G50" s="2"/>
      <c r="H50" s="38"/>
      <c r="I50" s="38"/>
      <c r="J50" s="38"/>
      <c r="K50" s="3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2" x14ac:dyDescent="0.25">
      <c r="A51" s="83"/>
      <c r="B51" s="13"/>
      <c r="C51" s="2"/>
      <c r="D51" s="2"/>
      <c r="E51" s="2"/>
      <c r="F51" s="2"/>
      <c r="G51" s="2"/>
      <c r="H51" s="38"/>
      <c r="I51" s="38"/>
      <c r="J51" s="38"/>
      <c r="K51" s="3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2" x14ac:dyDescent="0.25">
      <c r="A52" s="83"/>
      <c r="B52" s="13"/>
      <c r="C52" s="2"/>
      <c r="D52" s="2"/>
      <c r="E52" s="2"/>
      <c r="F52" s="2"/>
      <c r="G52" s="2"/>
      <c r="H52" s="38"/>
      <c r="I52" s="38"/>
      <c r="J52" s="38"/>
      <c r="K52" s="3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2" x14ac:dyDescent="0.25">
      <c r="A53" s="83"/>
      <c r="B53" s="13"/>
      <c r="C53" s="2"/>
      <c r="D53" s="2"/>
      <c r="E53" s="2"/>
      <c r="F53" s="2"/>
      <c r="G53" s="2"/>
      <c r="H53" s="38"/>
      <c r="I53" s="38"/>
      <c r="J53" s="38"/>
      <c r="K53" s="3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2" x14ac:dyDescent="0.25">
      <c r="A54" s="83"/>
      <c r="B54" s="13"/>
      <c r="C54" s="2"/>
      <c r="D54" s="2"/>
      <c r="E54" s="2"/>
      <c r="F54" s="2"/>
      <c r="G54" s="2"/>
      <c r="H54" s="38"/>
      <c r="I54" s="38"/>
      <c r="J54" s="38"/>
      <c r="K54" s="3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2" x14ac:dyDescent="0.25">
      <c r="A55" s="83"/>
      <c r="B55" s="13"/>
      <c r="C55" s="2"/>
      <c r="D55" s="2"/>
      <c r="E55" s="2"/>
      <c r="F55" s="2"/>
      <c r="G55" s="2"/>
      <c r="H55" s="38"/>
      <c r="I55" s="38"/>
      <c r="J55" s="38"/>
      <c r="K55" s="3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2" x14ac:dyDescent="0.25">
      <c r="A56" s="83"/>
      <c r="B56" s="13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2" x14ac:dyDescent="0.25">
      <c r="A57" s="83"/>
      <c r="B57" s="13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2" x14ac:dyDescent="0.25">
      <c r="A58" s="83"/>
      <c r="B58" s="87" t="s">
        <v>68</v>
      </c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64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2" x14ac:dyDescent="0.25">
      <c r="A59" s="83"/>
      <c r="B59" s="13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2" x14ac:dyDescent="0.25">
      <c r="A60" s="83"/>
      <c r="B60" s="2"/>
      <c r="C60" s="2"/>
      <c r="D60" s="2"/>
      <c r="E60" s="2"/>
      <c r="F60" s="7" t="s">
        <v>69</v>
      </c>
      <c r="G60" s="7" t="s">
        <v>70</v>
      </c>
      <c r="H60" s="35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2" x14ac:dyDescent="0.25">
      <c r="A61" s="83"/>
      <c r="B61" s="7" t="s">
        <v>71</v>
      </c>
      <c r="C61" s="20" t="s">
        <v>72</v>
      </c>
      <c r="D61" s="21">
        <f>J4/14+0.6*J4</f>
        <v>0.80050160249413838</v>
      </c>
      <c r="E61" s="2"/>
      <c r="F61" s="7">
        <v>0</v>
      </c>
      <c r="G61" s="7">
        <v>0</v>
      </c>
      <c r="H61" s="35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2" x14ac:dyDescent="0.25">
      <c r="A62" s="83"/>
      <c r="B62" s="7" t="s">
        <v>73</v>
      </c>
      <c r="C62" s="20" t="s">
        <v>74</v>
      </c>
      <c r="D62" s="21">
        <f>2.667*D61</f>
        <v>2.1349377738518669</v>
      </c>
      <c r="E62" s="2"/>
      <c r="F62" s="39">
        <f t="shared" ref="F62:F63" si="14">D61</f>
        <v>0.80050160249413838</v>
      </c>
      <c r="G62" s="39">
        <f>D63</f>
        <v>2.1566477751212765</v>
      </c>
      <c r="H62" s="35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2" x14ac:dyDescent="0.25">
      <c r="A63" s="83"/>
      <c r="B63" s="7" t="s">
        <v>75</v>
      </c>
      <c r="C63" s="20" t="s">
        <v>76</v>
      </c>
      <c r="D63" s="21">
        <f>0.208*J2/D61</f>
        <v>2.1566477751212765</v>
      </c>
      <c r="E63" s="2"/>
      <c r="F63" s="39">
        <f t="shared" si="14"/>
        <v>2.1349377738518669</v>
      </c>
      <c r="G63" s="7">
        <v>0</v>
      </c>
      <c r="H63" s="35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2" x14ac:dyDescent="0.25">
      <c r="A64" s="83"/>
      <c r="B64" s="13"/>
      <c r="C64" s="2"/>
      <c r="D64" s="2"/>
      <c r="E64" s="2"/>
      <c r="F64" s="35"/>
      <c r="G64" s="35"/>
      <c r="H64" s="35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2" x14ac:dyDescent="0.25">
      <c r="A65" s="83"/>
      <c r="B65" s="13"/>
      <c r="C65" s="2"/>
      <c r="D65" s="2"/>
      <c r="E65" s="2"/>
      <c r="F65" s="86" t="s">
        <v>77</v>
      </c>
      <c r="G65" s="76"/>
      <c r="H65" s="64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2" x14ac:dyDescent="0.25">
      <c r="A66" s="83"/>
      <c r="B66" s="13"/>
      <c r="C66" s="2"/>
      <c r="D66" s="2"/>
      <c r="E66" s="2"/>
      <c r="F66" s="7"/>
      <c r="G66" s="7" t="s">
        <v>78</v>
      </c>
      <c r="H66" s="7" t="s">
        <v>79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2" x14ac:dyDescent="0.25">
      <c r="A67" s="83"/>
      <c r="B67" s="13"/>
      <c r="C67" s="2"/>
      <c r="D67" s="2"/>
      <c r="E67" s="2"/>
      <c r="F67" s="7" t="s">
        <v>80</v>
      </c>
      <c r="G67" s="40">
        <f>G62/F62</f>
        <v>2.6941204969506209</v>
      </c>
      <c r="H67" s="41" t="s">
        <v>81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6.4" x14ac:dyDescent="0.25">
      <c r="A68" s="83"/>
      <c r="B68" s="13"/>
      <c r="C68" s="2"/>
      <c r="D68" s="2"/>
      <c r="E68" s="2"/>
      <c r="F68" s="7" t="s">
        <v>82</v>
      </c>
      <c r="G68" s="42">
        <f>0-G62/(F63-F62)</f>
        <v>-1.6161490683567012</v>
      </c>
      <c r="H68" s="42">
        <f>G62*F63/(F63-F62)</f>
        <v>3.4503776942102249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2" x14ac:dyDescent="0.25">
      <c r="A69" s="83"/>
      <c r="B69" s="13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2" x14ac:dyDescent="0.25">
      <c r="A70" s="83"/>
      <c r="B70" s="1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2" x14ac:dyDescent="0.25">
      <c r="A71" s="83"/>
      <c r="B71" s="87" t="s">
        <v>83</v>
      </c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64"/>
      <c r="S71" s="2"/>
      <c r="T71" s="2"/>
      <c r="U71" s="2"/>
      <c r="V71" s="2"/>
      <c r="W71" s="2"/>
      <c r="X71" s="2"/>
      <c r="Y71" s="2"/>
      <c r="Z71" s="2"/>
    </row>
    <row r="72" spans="1:26" ht="13.2" x14ac:dyDescent="0.25">
      <c r="A72" s="83"/>
      <c r="B72" s="13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2" x14ac:dyDescent="0.25">
      <c r="A73" s="83"/>
      <c r="B73" s="43" t="s">
        <v>23</v>
      </c>
      <c r="C73" s="44" t="s">
        <v>57</v>
      </c>
      <c r="D73" s="44" t="s">
        <v>84</v>
      </c>
      <c r="E73" s="45">
        <f>P32</f>
        <v>0</v>
      </c>
      <c r="F73" s="45">
        <f>P33</f>
        <v>0</v>
      </c>
      <c r="G73" s="45">
        <f>P34</f>
        <v>0</v>
      </c>
      <c r="H73" s="45">
        <f>P35</f>
        <v>0</v>
      </c>
      <c r="I73" s="45">
        <f>P36</f>
        <v>6.6687066358008473E-2</v>
      </c>
      <c r="J73" s="45">
        <f>P37</f>
        <v>1.1699009637413811</v>
      </c>
      <c r="K73" s="45">
        <f>P38</f>
        <v>7.5335383769742945</v>
      </c>
      <c r="L73" s="45">
        <f>P39</f>
        <v>3.0185283048546463</v>
      </c>
      <c r="M73" s="45">
        <f>P40</f>
        <v>2.305662845276796</v>
      </c>
      <c r="N73" s="45">
        <f>P41</f>
        <v>1.9550613444485982</v>
      </c>
      <c r="O73" s="45">
        <f>P42</f>
        <v>1.735045211406689</v>
      </c>
      <c r="P73" s="45">
        <f>P43</f>
        <v>1.579766650929173</v>
      </c>
      <c r="Q73" s="44" t="s">
        <v>85</v>
      </c>
      <c r="R73" s="32" t="s">
        <v>86</v>
      </c>
      <c r="S73" s="2"/>
      <c r="T73" s="2"/>
      <c r="U73" s="2"/>
      <c r="V73" s="2"/>
      <c r="W73" s="2"/>
      <c r="X73" s="2"/>
      <c r="Y73" s="2"/>
      <c r="Z73" s="2"/>
    </row>
    <row r="74" spans="1:26" ht="13.2" x14ac:dyDescent="0.25">
      <c r="A74" s="83"/>
      <c r="B74" s="46">
        <v>1</v>
      </c>
      <c r="C74" s="47">
        <f t="shared" ref="C74:C172" si="15">B74*$E$26/4</f>
        <v>4.2579872473092466E-2</v>
      </c>
      <c r="D74" s="48">
        <f t="shared" ref="D74:D172" si="16">IF(C74&lt;=$D$62,IF(C74&lt;=$D$61,C74*$G$67,C74*$G$68+$H$68),0)</f>
        <v>0.11471530718730194</v>
      </c>
      <c r="E74" s="48">
        <f t="shared" ref="E74:E172" si="17">IF(C74&lt;=$D$62,E$73*D74,"")</f>
        <v>0</v>
      </c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5">
        <f t="shared" ref="Q74:Q172" si="18">SUM(E74:P74)</f>
        <v>0</v>
      </c>
      <c r="R74" s="33">
        <f>MAX(Q74:Q172)</f>
        <v>31.0336487283531</v>
      </c>
      <c r="S74" s="2"/>
      <c r="T74" s="2"/>
      <c r="U74" s="2"/>
      <c r="V74" s="2"/>
      <c r="W74" s="2"/>
      <c r="X74" s="2"/>
      <c r="Y74" s="2"/>
    </row>
    <row r="75" spans="1:26" ht="13.2" x14ac:dyDescent="0.25">
      <c r="A75" s="83"/>
      <c r="B75" s="46">
        <v>2</v>
      </c>
      <c r="C75" s="47">
        <f t="shared" si="15"/>
        <v>8.5159744946184932E-2</v>
      </c>
      <c r="D75" s="48">
        <f t="shared" si="16"/>
        <v>0.22943061437460388</v>
      </c>
      <c r="E75" s="48">
        <f t="shared" si="17"/>
        <v>0</v>
      </c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5">
        <f t="shared" si="18"/>
        <v>0</v>
      </c>
      <c r="R75" s="2"/>
      <c r="S75" s="2"/>
      <c r="T75" s="2"/>
      <c r="U75" s="2"/>
      <c r="V75" s="2"/>
      <c r="W75" s="2"/>
      <c r="X75" s="2"/>
      <c r="Y75" s="2"/>
    </row>
    <row r="76" spans="1:26" ht="13.2" x14ac:dyDescent="0.25">
      <c r="A76" s="83"/>
      <c r="B76" s="46">
        <v>3</v>
      </c>
      <c r="C76" s="47">
        <f t="shared" si="15"/>
        <v>0.12773961741927739</v>
      </c>
      <c r="D76" s="48">
        <f t="shared" si="16"/>
        <v>0.34414592156190582</v>
      </c>
      <c r="E76" s="48">
        <f t="shared" si="17"/>
        <v>0</v>
      </c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5">
        <f t="shared" si="18"/>
        <v>0</v>
      </c>
      <c r="R76" s="2"/>
      <c r="S76" s="2"/>
      <c r="T76" s="2"/>
      <c r="U76" s="2"/>
      <c r="V76" s="2"/>
      <c r="W76" s="2"/>
      <c r="X76" s="2"/>
      <c r="Y76" s="2"/>
    </row>
    <row r="77" spans="1:26" ht="13.2" x14ac:dyDescent="0.25">
      <c r="A77" s="83"/>
      <c r="B77" s="46">
        <v>4</v>
      </c>
      <c r="C77" s="47">
        <f t="shared" si="15"/>
        <v>0.17031948989236986</v>
      </c>
      <c r="D77" s="48">
        <f t="shared" si="16"/>
        <v>0.45886122874920776</v>
      </c>
      <c r="E77" s="48">
        <f t="shared" si="17"/>
        <v>0</v>
      </c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5">
        <f t="shared" si="18"/>
        <v>0</v>
      </c>
      <c r="R77" s="2"/>
      <c r="S77" s="2"/>
      <c r="T77" s="2"/>
      <c r="U77" s="2"/>
      <c r="V77" s="2"/>
      <c r="W77" s="2"/>
      <c r="X77" s="2"/>
      <c r="Y77" s="2"/>
    </row>
    <row r="78" spans="1:26" ht="13.2" x14ac:dyDescent="0.25">
      <c r="A78" s="83"/>
      <c r="B78" s="46">
        <v>5</v>
      </c>
      <c r="C78" s="47">
        <f t="shared" si="15"/>
        <v>0.21289936236546234</v>
      </c>
      <c r="D78" s="48">
        <f t="shared" si="16"/>
        <v>0.5735765359365097</v>
      </c>
      <c r="E78" s="48">
        <f t="shared" si="17"/>
        <v>0</v>
      </c>
      <c r="F78" s="48">
        <f t="shared" ref="F78:F172" si="19">IF(C74&lt;=$D$62,F$73*D74,"")</f>
        <v>0</v>
      </c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5">
        <f t="shared" si="18"/>
        <v>0</v>
      </c>
      <c r="R78" s="2"/>
      <c r="S78" s="2"/>
      <c r="T78" s="2"/>
      <c r="U78" s="2"/>
      <c r="V78" s="2"/>
      <c r="W78" s="2"/>
      <c r="X78" s="2"/>
      <c r="Y78" s="2"/>
    </row>
    <row r="79" spans="1:26" ht="13.2" x14ac:dyDescent="0.25">
      <c r="A79" s="83"/>
      <c r="B79" s="46">
        <v>6</v>
      </c>
      <c r="C79" s="47">
        <f t="shared" si="15"/>
        <v>0.25547923483855478</v>
      </c>
      <c r="D79" s="48">
        <f t="shared" si="16"/>
        <v>0.68829184312381164</v>
      </c>
      <c r="E79" s="48">
        <f t="shared" si="17"/>
        <v>0</v>
      </c>
      <c r="F79" s="48">
        <f t="shared" si="19"/>
        <v>0</v>
      </c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5">
        <f t="shared" si="18"/>
        <v>0</v>
      </c>
      <c r="R79" s="2"/>
      <c r="S79" s="2"/>
      <c r="T79" s="2"/>
      <c r="U79" s="2"/>
      <c r="V79" s="2"/>
      <c r="W79" s="2"/>
      <c r="X79" s="2"/>
      <c r="Y79" s="2"/>
    </row>
    <row r="80" spans="1:26" ht="13.2" x14ac:dyDescent="0.25">
      <c r="A80" s="83"/>
      <c r="B80" s="46">
        <v>7</v>
      </c>
      <c r="C80" s="47">
        <f t="shared" si="15"/>
        <v>0.29805910731164725</v>
      </c>
      <c r="D80" s="48">
        <f t="shared" si="16"/>
        <v>0.80300715031111358</v>
      </c>
      <c r="E80" s="48">
        <f t="shared" si="17"/>
        <v>0</v>
      </c>
      <c r="F80" s="48">
        <f t="shared" si="19"/>
        <v>0</v>
      </c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5">
        <f t="shared" si="18"/>
        <v>0</v>
      </c>
      <c r="R80" s="2"/>
      <c r="S80" s="2"/>
      <c r="T80" s="2"/>
      <c r="U80" s="2"/>
      <c r="V80" s="2"/>
      <c r="W80" s="2"/>
      <c r="X80" s="2"/>
      <c r="Y80" s="2"/>
    </row>
    <row r="81" spans="1:25" ht="13.2" x14ac:dyDescent="0.25">
      <c r="A81" s="83"/>
      <c r="B81" s="46">
        <v>8</v>
      </c>
      <c r="C81" s="47">
        <f t="shared" si="15"/>
        <v>0.34063897978473973</v>
      </c>
      <c r="D81" s="48">
        <f t="shared" si="16"/>
        <v>0.91772245749841552</v>
      </c>
      <c r="E81" s="48">
        <f t="shared" si="17"/>
        <v>0</v>
      </c>
      <c r="F81" s="48">
        <f t="shared" si="19"/>
        <v>0</v>
      </c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5">
        <f t="shared" si="18"/>
        <v>0</v>
      </c>
      <c r="R81" s="2"/>
      <c r="S81" s="2"/>
      <c r="T81" s="2"/>
      <c r="U81" s="2"/>
      <c r="V81" s="2"/>
      <c r="W81" s="2"/>
      <c r="X81" s="2"/>
      <c r="Y81" s="2"/>
    </row>
    <row r="82" spans="1:25" ht="13.2" x14ac:dyDescent="0.25">
      <c r="A82" s="83"/>
      <c r="B82" s="46">
        <v>9</v>
      </c>
      <c r="C82" s="47">
        <f t="shared" si="15"/>
        <v>0.3832188522578322</v>
      </c>
      <c r="D82" s="48">
        <f t="shared" si="16"/>
        <v>1.0324377646857175</v>
      </c>
      <c r="E82" s="48">
        <f t="shared" si="17"/>
        <v>0</v>
      </c>
      <c r="F82" s="48">
        <f t="shared" si="19"/>
        <v>0</v>
      </c>
      <c r="G82" s="48">
        <f t="shared" ref="G82:G172" si="20">IF(C74&lt;=$D$62,G$73*D74,"")</f>
        <v>0</v>
      </c>
      <c r="H82" s="49"/>
      <c r="I82" s="49"/>
      <c r="J82" s="49"/>
      <c r="K82" s="49"/>
      <c r="L82" s="49"/>
      <c r="M82" s="49"/>
      <c r="N82" s="49"/>
      <c r="O82" s="49"/>
      <c r="P82" s="49"/>
      <c r="Q82" s="45">
        <f t="shared" si="18"/>
        <v>0</v>
      </c>
      <c r="R82" s="2"/>
      <c r="S82" s="2"/>
      <c r="T82" s="2"/>
      <c r="U82" s="2"/>
      <c r="V82" s="2"/>
      <c r="W82" s="2"/>
      <c r="X82" s="2"/>
      <c r="Y82" s="2"/>
    </row>
    <row r="83" spans="1:25" ht="13.2" x14ac:dyDescent="0.25">
      <c r="A83" s="83"/>
      <c r="B83" s="46">
        <v>10</v>
      </c>
      <c r="C83" s="47">
        <f t="shared" si="15"/>
        <v>0.42579872473092467</v>
      </c>
      <c r="D83" s="48">
        <f t="shared" si="16"/>
        <v>1.1471530718730194</v>
      </c>
      <c r="E83" s="48">
        <f t="shared" si="17"/>
        <v>0</v>
      </c>
      <c r="F83" s="48">
        <f t="shared" si="19"/>
        <v>0</v>
      </c>
      <c r="G83" s="48">
        <f t="shared" si="20"/>
        <v>0</v>
      </c>
      <c r="H83" s="49"/>
      <c r="I83" s="49"/>
      <c r="J83" s="49"/>
      <c r="K83" s="49"/>
      <c r="L83" s="49"/>
      <c r="M83" s="49"/>
      <c r="N83" s="49"/>
      <c r="O83" s="49"/>
      <c r="P83" s="49"/>
      <c r="Q83" s="45">
        <f t="shared" si="18"/>
        <v>0</v>
      </c>
      <c r="R83" s="2"/>
      <c r="S83" s="2"/>
      <c r="T83" s="2"/>
      <c r="U83" s="2"/>
      <c r="V83" s="2"/>
      <c r="W83" s="2"/>
      <c r="X83" s="2"/>
      <c r="Y83" s="2"/>
    </row>
    <row r="84" spans="1:25" ht="13.2" x14ac:dyDescent="0.25">
      <c r="A84" s="83"/>
      <c r="B84" s="46">
        <v>11</v>
      </c>
      <c r="C84" s="47">
        <f t="shared" si="15"/>
        <v>0.46837859720401714</v>
      </c>
      <c r="D84" s="48">
        <f t="shared" si="16"/>
        <v>1.2618683790603213</v>
      </c>
      <c r="E84" s="48">
        <f t="shared" si="17"/>
        <v>0</v>
      </c>
      <c r="F84" s="48">
        <f t="shared" si="19"/>
        <v>0</v>
      </c>
      <c r="G84" s="48">
        <f t="shared" si="20"/>
        <v>0</v>
      </c>
      <c r="H84" s="49"/>
      <c r="I84" s="49"/>
      <c r="J84" s="49"/>
      <c r="K84" s="49"/>
      <c r="L84" s="49"/>
      <c r="M84" s="49"/>
      <c r="N84" s="49"/>
      <c r="O84" s="49"/>
      <c r="P84" s="49"/>
      <c r="Q84" s="45">
        <f t="shared" si="18"/>
        <v>0</v>
      </c>
      <c r="R84" s="2"/>
      <c r="S84" s="2"/>
      <c r="T84" s="2"/>
      <c r="U84" s="2"/>
      <c r="V84" s="2"/>
      <c r="W84" s="2"/>
      <c r="X84" s="2"/>
      <c r="Y84" s="2"/>
    </row>
    <row r="85" spans="1:25" ht="13.2" x14ac:dyDescent="0.25">
      <c r="A85" s="83"/>
      <c r="B85" s="46">
        <v>12</v>
      </c>
      <c r="C85" s="47">
        <f t="shared" si="15"/>
        <v>0.51095846967710956</v>
      </c>
      <c r="D85" s="48">
        <f t="shared" si="16"/>
        <v>1.3765836862476233</v>
      </c>
      <c r="E85" s="48">
        <f t="shared" si="17"/>
        <v>0</v>
      </c>
      <c r="F85" s="48">
        <f t="shared" si="19"/>
        <v>0</v>
      </c>
      <c r="G85" s="48">
        <f t="shared" si="20"/>
        <v>0</v>
      </c>
      <c r="H85" s="49"/>
      <c r="I85" s="49"/>
      <c r="J85" s="49"/>
      <c r="K85" s="49"/>
      <c r="L85" s="49"/>
      <c r="M85" s="49"/>
      <c r="N85" s="49"/>
      <c r="O85" s="49"/>
      <c r="P85" s="49"/>
      <c r="Q85" s="45">
        <f t="shared" si="18"/>
        <v>0</v>
      </c>
      <c r="R85" s="2"/>
      <c r="S85" s="2"/>
      <c r="T85" s="2"/>
      <c r="U85" s="2"/>
      <c r="V85" s="2"/>
      <c r="W85" s="2"/>
      <c r="X85" s="2"/>
      <c r="Y85" s="2"/>
    </row>
    <row r="86" spans="1:25" ht="13.2" x14ac:dyDescent="0.25">
      <c r="A86" s="83"/>
      <c r="B86" s="46">
        <v>13</v>
      </c>
      <c r="C86" s="47">
        <f t="shared" si="15"/>
        <v>0.55353834215020203</v>
      </c>
      <c r="D86" s="48">
        <f t="shared" si="16"/>
        <v>1.4912989934349252</v>
      </c>
      <c r="E86" s="48">
        <f t="shared" si="17"/>
        <v>0</v>
      </c>
      <c r="F86" s="48">
        <f t="shared" si="19"/>
        <v>0</v>
      </c>
      <c r="G86" s="48">
        <f t="shared" si="20"/>
        <v>0</v>
      </c>
      <c r="H86" s="48">
        <f t="shared" ref="H86:H172" si="21">IF(C74&lt;=$D$62,H$73*D74,"")</f>
        <v>0</v>
      </c>
      <c r="I86" s="49"/>
      <c r="J86" s="49"/>
      <c r="K86" s="49"/>
      <c r="L86" s="49"/>
      <c r="M86" s="49"/>
      <c r="N86" s="49"/>
      <c r="O86" s="49"/>
      <c r="P86" s="49"/>
      <c r="Q86" s="45">
        <f t="shared" si="18"/>
        <v>0</v>
      </c>
      <c r="R86" s="2"/>
      <c r="S86" s="2"/>
      <c r="T86" s="2"/>
      <c r="U86" s="2"/>
      <c r="V86" s="2"/>
      <c r="W86" s="2"/>
      <c r="X86" s="2"/>
      <c r="Y86" s="2"/>
    </row>
    <row r="87" spans="1:25" ht="13.2" x14ac:dyDescent="0.25">
      <c r="A87" s="83"/>
      <c r="B87" s="46">
        <v>14</v>
      </c>
      <c r="C87" s="47">
        <f t="shared" si="15"/>
        <v>0.59611821462329451</v>
      </c>
      <c r="D87" s="48">
        <f t="shared" si="16"/>
        <v>1.6060143006222272</v>
      </c>
      <c r="E87" s="48">
        <f t="shared" si="17"/>
        <v>0</v>
      </c>
      <c r="F87" s="48">
        <f t="shared" si="19"/>
        <v>0</v>
      </c>
      <c r="G87" s="48">
        <f t="shared" si="20"/>
        <v>0</v>
      </c>
      <c r="H87" s="48">
        <f t="shared" si="21"/>
        <v>0</v>
      </c>
      <c r="I87" s="49"/>
      <c r="J87" s="49"/>
      <c r="K87" s="49"/>
      <c r="L87" s="49"/>
      <c r="M87" s="49"/>
      <c r="N87" s="49"/>
      <c r="O87" s="49"/>
      <c r="P87" s="49"/>
      <c r="Q87" s="45">
        <f t="shared" si="18"/>
        <v>0</v>
      </c>
      <c r="R87" s="2"/>
      <c r="S87" s="2"/>
      <c r="T87" s="2"/>
      <c r="U87" s="2"/>
      <c r="V87" s="2"/>
      <c r="W87" s="2"/>
      <c r="X87" s="2"/>
      <c r="Y87" s="2"/>
    </row>
    <row r="88" spans="1:25" ht="13.2" x14ac:dyDescent="0.25">
      <c r="A88" s="83"/>
      <c r="B88" s="46">
        <v>15</v>
      </c>
      <c r="C88" s="47">
        <f t="shared" si="15"/>
        <v>0.63869808709638698</v>
      </c>
      <c r="D88" s="48">
        <f t="shared" si="16"/>
        <v>1.7207296078095291</v>
      </c>
      <c r="E88" s="48">
        <f t="shared" si="17"/>
        <v>0</v>
      </c>
      <c r="F88" s="48">
        <f t="shared" si="19"/>
        <v>0</v>
      </c>
      <c r="G88" s="48">
        <f t="shared" si="20"/>
        <v>0</v>
      </c>
      <c r="H88" s="48">
        <f t="shared" si="21"/>
        <v>0</v>
      </c>
      <c r="I88" s="49"/>
      <c r="J88" s="49"/>
      <c r="K88" s="49"/>
      <c r="L88" s="49"/>
      <c r="M88" s="49"/>
      <c r="N88" s="49"/>
      <c r="O88" s="49"/>
      <c r="P88" s="49"/>
      <c r="Q88" s="45">
        <f t="shared" si="18"/>
        <v>0</v>
      </c>
      <c r="R88" s="2"/>
      <c r="S88" s="2"/>
      <c r="T88" s="2"/>
      <c r="U88" s="2"/>
      <c r="V88" s="2"/>
      <c r="W88" s="2"/>
      <c r="X88" s="2"/>
      <c r="Y88" s="2"/>
    </row>
    <row r="89" spans="1:25" ht="13.2" x14ac:dyDescent="0.25">
      <c r="A89" s="83"/>
      <c r="B89" s="46">
        <v>16</v>
      </c>
      <c r="C89" s="47">
        <f t="shared" si="15"/>
        <v>0.68127795956947945</v>
      </c>
      <c r="D89" s="48">
        <f t="shared" si="16"/>
        <v>1.835444914996831</v>
      </c>
      <c r="E89" s="48">
        <f t="shared" si="17"/>
        <v>0</v>
      </c>
      <c r="F89" s="48">
        <f t="shared" si="19"/>
        <v>0</v>
      </c>
      <c r="G89" s="48">
        <f t="shared" si="20"/>
        <v>0</v>
      </c>
      <c r="H89" s="48">
        <f t="shared" si="21"/>
        <v>0</v>
      </c>
      <c r="I89" s="49"/>
      <c r="J89" s="49"/>
      <c r="K89" s="49"/>
      <c r="L89" s="49"/>
      <c r="M89" s="49"/>
      <c r="N89" s="49"/>
      <c r="O89" s="49"/>
      <c r="P89" s="49"/>
      <c r="Q89" s="45">
        <f t="shared" si="18"/>
        <v>0</v>
      </c>
      <c r="R89" s="2"/>
      <c r="S89" s="2"/>
      <c r="T89" s="2"/>
      <c r="U89" s="2"/>
      <c r="V89" s="2"/>
      <c r="W89" s="2"/>
      <c r="X89" s="2"/>
      <c r="Y89" s="2"/>
    </row>
    <row r="90" spans="1:25" ht="13.2" x14ac:dyDescent="0.25">
      <c r="A90" s="83"/>
      <c r="B90" s="46">
        <v>17</v>
      </c>
      <c r="C90" s="47">
        <f t="shared" si="15"/>
        <v>0.72385783204257192</v>
      </c>
      <c r="D90" s="48">
        <f t="shared" si="16"/>
        <v>1.950160222184133</v>
      </c>
      <c r="E90" s="48">
        <f t="shared" si="17"/>
        <v>0</v>
      </c>
      <c r="F90" s="48">
        <f t="shared" si="19"/>
        <v>0</v>
      </c>
      <c r="G90" s="48">
        <f t="shared" si="20"/>
        <v>0</v>
      </c>
      <c r="H90" s="48">
        <f t="shared" si="21"/>
        <v>0</v>
      </c>
      <c r="I90" s="48">
        <f t="shared" ref="I90:I172" si="22">IF(C74&lt;=$D$62,I$73*D74,"")</f>
        <v>7.6500273026789307E-3</v>
      </c>
      <c r="J90" s="49"/>
      <c r="K90" s="49"/>
      <c r="L90" s="49"/>
      <c r="M90" s="49"/>
      <c r="N90" s="49"/>
      <c r="O90" s="49"/>
      <c r="P90" s="49"/>
      <c r="Q90" s="45">
        <f t="shared" si="18"/>
        <v>7.6500273026789307E-3</v>
      </c>
      <c r="R90" s="2"/>
      <c r="S90" s="2"/>
      <c r="T90" s="2"/>
      <c r="U90" s="2"/>
      <c r="V90" s="2"/>
      <c r="W90" s="2"/>
      <c r="X90" s="2"/>
      <c r="Y90" s="2"/>
    </row>
    <row r="91" spans="1:25" ht="13.2" x14ac:dyDescent="0.25">
      <c r="A91" s="83"/>
      <c r="B91" s="46">
        <v>18</v>
      </c>
      <c r="C91" s="47">
        <f t="shared" si="15"/>
        <v>0.7664377045156644</v>
      </c>
      <c r="D91" s="48">
        <f t="shared" si="16"/>
        <v>2.0648755293714349</v>
      </c>
      <c r="E91" s="48">
        <f t="shared" si="17"/>
        <v>0</v>
      </c>
      <c r="F91" s="48">
        <f t="shared" si="19"/>
        <v>0</v>
      </c>
      <c r="G91" s="48">
        <f t="shared" si="20"/>
        <v>0</v>
      </c>
      <c r="H91" s="48">
        <f t="shared" si="21"/>
        <v>0</v>
      </c>
      <c r="I91" s="48">
        <f t="shared" si="22"/>
        <v>1.5300054605357861E-2</v>
      </c>
      <c r="J91" s="49"/>
      <c r="K91" s="49"/>
      <c r="L91" s="49"/>
      <c r="M91" s="49"/>
      <c r="N91" s="49"/>
      <c r="O91" s="49"/>
      <c r="P91" s="49"/>
      <c r="Q91" s="45">
        <f t="shared" si="18"/>
        <v>1.5300054605357861E-2</v>
      </c>
      <c r="R91" s="2"/>
      <c r="S91" s="2"/>
      <c r="T91" s="2"/>
      <c r="U91" s="2"/>
      <c r="V91" s="2"/>
      <c r="W91" s="2"/>
      <c r="X91" s="2"/>
      <c r="Y91" s="2"/>
    </row>
    <row r="92" spans="1:25" ht="13.2" x14ac:dyDescent="0.25">
      <c r="A92" s="83"/>
      <c r="B92" s="46">
        <v>19</v>
      </c>
      <c r="C92" s="47">
        <f t="shared" si="15"/>
        <v>0.80901757698875687</v>
      </c>
      <c r="D92" s="48">
        <f t="shared" si="16"/>
        <v>2.1428846908756496</v>
      </c>
      <c r="E92" s="48">
        <f t="shared" si="17"/>
        <v>0</v>
      </c>
      <c r="F92" s="48">
        <f t="shared" si="19"/>
        <v>0</v>
      </c>
      <c r="G92" s="48">
        <f t="shared" si="20"/>
        <v>0</v>
      </c>
      <c r="H92" s="48">
        <f t="shared" si="21"/>
        <v>0</v>
      </c>
      <c r="I92" s="48">
        <f t="shared" si="22"/>
        <v>2.2950081908036792E-2</v>
      </c>
      <c r="J92" s="49"/>
      <c r="K92" s="49"/>
      <c r="L92" s="49"/>
      <c r="M92" s="49"/>
      <c r="N92" s="49"/>
      <c r="O92" s="49"/>
      <c r="P92" s="49"/>
      <c r="Q92" s="45">
        <f t="shared" si="18"/>
        <v>2.2950081908036792E-2</v>
      </c>
      <c r="R92" s="2"/>
      <c r="S92" s="2"/>
      <c r="T92" s="2"/>
      <c r="U92" s="2"/>
      <c r="V92" s="2"/>
      <c r="W92" s="2"/>
      <c r="X92" s="2"/>
      <c r="Y92" s="2"/>
    </row>
    <row r="93" spans="1:25" ht="13.2" x14ac:dyDescent="0.25">
      <c r="A93" s="83"/>
      <c r="B93" s="46">
        <v>20</v>
      </c>
      <c r="C93" s="47">
        <f t="shared" si="15"/>
        <v>0.85159744946184934</v>
      </c>
      <c r="D93" s="48">
        <f t="shared" si="16"/>
        <v>2.0740692696475138</v>
      </c>
      <c r="E93" s="48">
        <f t="shared" si="17"/>
        <v>0</v>
      </c>
      <c r="F93" s="48">
        <f t="shared" si="19"/>
        <v>0</v>
      </c>
      <c r="G93" s="48">
        <f t="shared" si="20"/>
        <v>0</v>
      </c>
      <c r="H93" s="48">
        <f t="shared" si="21"/>
        <v>0</v>
      </c>
      <c r="I93" s="48">
        <f t="shared" si="22"/>
        <v>3.0600109210715723E-2</v>
      </c>
      <c r="J93" s="49"/>
      <c r="K93" s="49"/>
      <c r="L93" s="49"/>
      <c r="M93" s="49"/>
      <c r="N93" s="49"/>
      <c r="O93" s="49"/>
      <c r="P93" s="49"/>
      <c r="Q93" s="45">
        <f t="shared" si="18"/>
        <v>3.0600109210715723E-2</v>
      </c>
      <c r="R93" s="2"/>
      <c r="S93" s="2"/>
      <c r="T93" s="2"/>
      <c r="U93" s="2"/>
      <c r="V93" s="2"/>
      <c r="W93" s="2"/>
      <c r="X93" s="2"/>
      <c r="Y93" s="2"/>
    </row>
    <row r="94" spans="1:25" ht="13.2" x14ac:dyDescent="0.25">
      <c r="A94" s="83"/>
      <c r="B94" s="46">
        <v>21</v>
      </c>
      <c r="C94" s="47">
        <f t="shared" si="15"/>
        <v>0.89417732193494182</v>
      </c>
      <c r="D94" s="48">
        <f t="shared" si="16"/>
        <v>2.0052538484193785</v>
      </c>
      <c r="E94" s="48">
        <f t="shared" si="17"/>
        <v>0</v>
      </c>
      <c r="F94" s="48">
        <f t="shared" si="19"/>
        <v>0</v>
      </c>
      <c r="G94" s="48">
        <f t="shared" si="20"/>
        <v>0</v>
      </c>
      <c r="H94" s="48">
        <f t="shared" si="21"/>
        <v>0</v>
      </c>
      <c r="I94" s="48">
        <f t="shared" si="22"/>
        <v>3.8250136513394657E-2</v>
      </c>
      <c r="J94" s="48">
        <f t="shared" ref="J94:J172" si="23">IF(C74&lt;=$D$62,J$73*D74,"")</f>
        <v>0.13420554843431312</v>
      </c>
      <c r="K94" s="49"/>
      <c r="L94" s="49"/>
      <c r="M94" s="49"/>
      <c r="N94" s="49"/>
      <c r="O94" s="49"/>
      <c r="P94" s="49"/>
      <c r="Q94" s="45">
        <f t="shared" si="18"/>
        <v>0.17245568494770777</v>
      </c>
      <c r="R94" s="2"/>
      <c r="S94" s="2"/>
      <c r="T94" s="2"/>
      <c r="U94" s="2"/>
      <c r="V94" s="2"/>
      <c r="W94" s="2"/>
      <c r="X94" s="2"/>
      <c r="Y94" s="2"/>
    </row>
    <row r="95" spans="1:25" ht="13.2" x14ac:dyDescent="0.25">
      <c r="A95" s="83"/>
      <c r="B95" s="46">
        <v>22</v>
      </c>
      <c r="C95" s="47">
        <f t="shared" si="15"/>
        <v>0.93675719440803429</v>
      </c>
      <c r="D95" s="48">
        <f t="shared" si="16"/>
        <v>1.9364384271912429</v>
      </c>
      <c r="E95" s="48">
        <f t="shared" si="17"/>
        <v>0</v>
      </c>
      <c r="F95" s="48">
        <f t="shared" si="19"/>
        <v>0</v>
      </c>
      <c r="G95" s="48">
        <f t="shared" si="20"/>
        <v>0</v>
      </c>
      <c r="H95" s="48">
        <f t="shared" si="21"/>
        <v>0</v>
      </c>
      <c r="I95" s="48">
        <f t="shared" si="22"/>
        <v>4.5900163816073584E-2</v>
      </c>
      <c r="J95" s="48">
        <f t="shared" si="23"/>
        <v>0.26841109686862624</v>
      </c>
      <c r="K95" s="49"/>
      <c r="L95" s="49"/>
      <c r="M95" s="49"/>
      <c r="N95" s="49"/>
      <c r="O95" s="49"/>
      <c r="P95" s="49"/>
      <c r="Q95" s="45">
        <f t="shared" si="18"/>
        <v>0.31431126068469983</v>
      </c>
      <c r="R95" s="2"/>
      <c r="S95" s="2"/>
      <c r="T95" s="2"/>
      <c r="U95" s="2"/>
      <c r="V95" s="2"/>
      <c r="W95" s="2"/>
      <c r="X95" s="2"/>
      <c r="Y95" s="2"/>
    </row>
    <row r="96" spans="1:25" ht="13.2" x14ac:dyDescent="0.25">
      <c r="A96" s="83"/>
      <c r="B96" s="46">
        <v>23</v>
      </c>
      <c r="C96" s="47">
        <f t="shared" si="15"/>
        <v>0.97933706688112676</v>
      </c>
      <c r="D96" s="48">
        <f t="shared" si="16"/>
        <v>1.8676230059631074</v>
      </c>
      <c r="E96" s="48">
        <f t="shared" si="17"/>
        <v>0</v>
      </c>
      <c r="F96" s="48">
        <f t="shared" si="19"/>
        <v>0</v>
      </c>
      <c r="G96" s="48">
        <f t="shared" si="20"/>
        <v>0</v>
      </c>
      <c r="H96" s="48">
        <f t="shared" si="21"/>
        <v>0</v>
      </c>
      <c r="I96" s="48">
        <f t="shared" si="22"/>
        <v>5.3550191118752519E-2</v>
      </c>
      <c r="J96" s="48">
        <f t="shared" si="23"/>
        <v>0.40261664530293934</v>
      </c>
      <c r="K96" s="49"/>
      <c r="L96" s="49"/>
      <c r="M96" s="49"/>
      <c r="N96" s="49"/>
      <c r="O96" s="49"/>
      <c r="P96" s="49"/>
      <c r="Q96" s="45">
        <f t="shared" si="18"/>
        <v>0.45616683642169187</v>
      </c>
      <c r="R96" s="2"/>
      <c r="S96" s="2"/>
      <c r="T96" s="2"/>
      <c r="U96" s="2"/>
      <c r="V96" s="2"/>
      <c r="W96" s="2"/>
      <c r="X96" s="2"/>
      <c r="Y96" s="2"/>
    </row>
    <row r="97" spans="1:25" ht="13.2" x14ac:dyDescent="0.25">
      <c r="A97" s="83"/>
      <c r="B97" s="46">
        <v>24</v>
      </c>
      <c r="C97" s="47">
        <f t="shared" si="15"/>
        <v>1.0219169393542191</v>
      </c>
      <c r="D97" s="48">
        <f t="shared" si="16"/>
        <v>1.798807584734972</v>
      </c>
      <c r="E97" s="48">
        <f t="shared" si="17"/>
        <v>0</v>
      </c>
      <c r="F97" s="48">
        <f t="shared" si="19"/>
        <v>0</v>
      </c>
      <c r="G97" s="48">
        <f t="shared" si="20"/>
        <v>0</v>
      </c>
      <c r="H97" s="48">
        <f t="shared" si="21"/>
        <v>0</v>
      </c>
      <c r="I97" s="48">
        <f t="shared" si="22"/>
        <v>6.1200218421431446E-2</v>
      </c>
      <c r="J97" s="48">
        <f t="shared" si="23"/>
        <v>0.53682219373725248</v>
      </c>
      <c r="K97" s="49"/>
      <c r="L97" s="49"/>
      <c r="M97" s="49"/>
      <c r="N97" s="49"/>
      <c r="O97" s="49"/>
      <c r="P97" s="49"/>
      <c r="Q97" s="45">
        <f t="shared" si="18"/>
        <v>0.5980224121586839</v>
      </c>
      <c r="R97" s="2"/>
      <c r="S97" s="2"/>
      <c r="T97" s="2"/>
      <c r="U97" s="2"/>
      <c r="V97" s="2"/>
      <c r="W97" s="2"/>
      <c r="X97" s="2"/>
      <c r="Y97" s="2"/>
    </row>
    <row r="98" spans="1:25" ht="13.2" x14ac:dyDescent="0.25">
      <c r="A98" s="83"/>
      <c r="B98" s="46">
        <v>25</v>
      </c>
      <c r="C98" s="47">
        <f t="shared" si="15"/>
        <v>1.0644968118273117</v>
      </c>
      <c r="D98" s="48">
        <f t="shared" si="16"/>
        <v>1.7299921635068363</v>
      </c>
      <c r="E98" s="48">
        <f t="shared" si="17"/>
        <v>0</v>
      </c>
      <c r="F98" s="48">
        <f t="shared" si="19"/>
        <v>0</v>
      </c>
      <c r="G98" s="48">
        <f t="shared" si="20"/>
        <v>0</v>
      </c>
      <c r="H98" s="48">
        <f t="shared" si="21"/>
        <v>0</v>
      </c>
      <c r="I98" s="48">
        <f t="shared" si="22"/>
        <v>6.8850245724110373E-2</v>
      </c>
      <c r="J98" s="48">
        <f t="shared" si="23"/>
        <v>0.67102774217156558</v>
      </c>
      <c r="K98" s="48">
        <f t="shared" ref="K98:K172" si="24">IF(C74&lt;=$D$62,K$73*D74,"")</f>
        <v>0.86421216912193433</v>
      </c>
      <c r="L98" s="49"/>
      <c r="M98" s="49"/>
      <c r="N98" s="49"/>
      <c r="O98" s="49"/>
      <c r="P98" s="49"/>
      <c r="Q98" s="45">
        <f t="shared" si="18"/>
        <v>1.6040901570176103</v>
      </c>
      <c r="R98" s="2"/>
      <c r="S98" s="2"/>
      <c r="T98" s="2"/>
      <c r="U98" s="2"/>
      <c r="V98" s="2"/>
      <c r="W98" s="2"/>
      <c r="X98" s="2"/>
      <c r="Y98" s="2"/>
    </row>
    <row r="99" spans="1:25" ht="13.2" x14ac:dyDescent="0.25">
      <c r="A99" s="83"/>
      <c r="B99" s="46">
        <v>26</v>
      </c>
      <c r="C99" s="47">
        <f t="shared" si="15"/>
        <v>1.1070766843004041</v>
      </c>
      <c r="D99" s="48">
        <f t="shared" si="16"/>
        <v>1.6611767422787009</v>
      </c>
      <c r="E99" s="48">
        <f t="shared" si="17"/>
        <v>0</v>
      </c>
      <c r="F99" s="48">
        <f t="shared" si="19"/>
        <v>0</v>
      </c>
      <c r="G99" s="48">
        <f t="shared" si="20"/>
        <v>0</v>
      </c>
      <c r="H99" s="48">
        <f t="shared" si="21"/>
        <v>0</v>
      </c>
      <c r="I99" s="48">
        <f t="shared" si="22"/>
        <v>7.6500273026789314E-2</v>
      </c>
      <c r="J99" s="48">
        <f t="shared" si="23"/>
        <v>0.80523329060587867</v>
      </c>
      <c r="K99" s="48">
        <f t="shared" si="24"/>
        <v>1.7284243382438687</v>
      </c>
      <c r="L99" s="49"/>
      <c r="M99" s="49"/>
      <c r="N99" s="49"/>
      <c r="O99" s="49"/>
      <c r="P99" s="49"/>
      <c r="Q99" s="45">
        <f t="shared" si="18"/>
        <v>2.6101579018765366</v>
      </c>
      <c r="R99" s="2"/>
      <c r="S99" s="2"/>
      <c r="T99" s="2"/>
      <c r="U99" s="2"/>
      <c r="V99" s="2"/>
      <c r="W99" s="2"/>
      <c r="X99" s="2"/>
      <c r="Y99" s="2"/>
    </row>
    <row r="100" spans="1:25" ht="13.2" x14ac:dyDescent="0.25">
      <c r="A100" s="83"/>
      <c r="B100" s="46">
        <v>27</v>
      </c>
      <c r="C100" s="47">
        <f t="shared" si="15"/>
        <v>1.1496565567734967</v>
      </c>
      <c r="D100" s="48">
        <f t="shared" si="16"/>
        <v>1.5923613210505652</v>
      </c>
      <c r="E100" s="48">
        <f t="shared" si="17"/>
        <v>0</v>
      </c>
      <c r="F100" s="48">
        <f t="shared" si="19"/>
        <v>0</v>
      </c>
      <c r="G100" s="48">
        <f t="shared" si="20"/>
        <v>0</v>
      </c>
      <c r="H100" s="48">
        <f t="shared" si="21"/>
        <v>0</v>
      </c>
      <c r="I100" s="48">
        <f t="shared" si="22"/>
        <v>8.4150300329468242E-2</v>
      </c>
      <c r="J100" s="48">
        <f t="shared" si="23"/>
        <v>0.93943883904019188</v>
      </c>
      <c r="K100" s="48">
        <f t="shared" si="24"/>
        <v>2.5926365073658029</v>
      </c>
      <c r="L100" s="49"/>
      <c r="M100" s="49"/>
      <c r="N100" s="49"/>
      <c r="O100" s="49"/>
      <c r="P100" s="49"/>
      <c r="Q100" s="45">
        <f t="shared" si="18"/>
        <v>3.616225646735463</v>
      </c>
      <c r="R100" s="2"/>
      <c r="S100" s="2"/>
      <c r="T100" s="2"/>
      <c r="U100" s="2"/>
      <c r="V100" s="2"/>
      <c r="W100" s="2"/>
      <c r="X100" s="2"/>
      <c r="Y100" s="2"/>
    </row>
    <row r="101" spans="1:25" ht="13.2" x14ac:dyDescent="0.25">
      <c r="A101" s="83"/>
      <c r="B101" s="46">
        <v>28</v>
      </c>
      <c r="C101" s="47">
        <f t="shared" si="15"/>
        <v>1.192236429246589</v>
      </c>
      <c r="D101" s="48">
        <f t="shared" si="16"/>
        <v>1.5235458998224298</v>
      </c>
      <c r="E101" s="48">
        <f t="shared" si="17"/>
        <v>0</v>
      </c>
      <c r="F101" s="48">
        <f t="shared" si="19"/>
        <v>0</v>
      </c>
      <c r="G101" s="48">
        <f t="shared" si="20"/>
        <v>0</v>
      </c>
      <c r="H101" s="48">
        <f t="shared" si="21"/>
        <v>0</v>
      </c>
      <c r="I101" s="48">
        <f t="shared" si="22"/>
        <v>9.1800327632147169E-2</v>
      </c>
      <c r="J101" s="48">
        <f t="shared" si="23"/>
        <v>1.073644387474505</v>
      </c>
      <c r="K101" s="48">
        <f t="shared" si="24"/>
        <v>3.4568486764877373</v>
      </c>
      <c r="L101" s="49"/>
      <c r="M101" s="49"/>
      <c r="N101" s="49"/>
      <c r="O101" s="49"/>
      <c r="P101" s="49"/>
      <c r="Q101" s="45">
        <f t="shared" si="18"/>
        <v>4.6222933915943898</v>
      </c>
      <c r="R101" s="2"/>
      <c r="S101" s="2"/>
      <c r="T101" s="2"/>
      <c r="U101" s="2"/>
      <c r="V101" s="2"/>
      <c r="W101" s="2"/>
      <c r="X101" s="2"/>
      <c r="Y101" s="2"/>
    </row>
    <row r="102" spans="1:25" ht="13.2" x14ac:dyDescent="0.25">
      <c r="A102" s="83"/>
      <c r="B102" s="46">
        <v>29</v>
      </c>
      <c r="C102" s="47">
        <f t="shared" si="15"/>
        <v>1.2348163017196816</v>
      </c>
      <c r="D102" s="48">
        <f t="shared" si="16"/>
        <v>1.4547304785942943</v>
      </c>
      <c r="E102" s="48">
        <f t="shared" si="17"/>
        <v>0</v>
      </c>
      <c r="F102" s="48">
        <f t="shared" si="19"/>
        <v>0</v>
      </c>
      <c r="G102" s="48">
        <f t="shared" si="20"/>
        <v>0</v>
      </c>
      <c r="H102" s="48">
        <f t="shared" si="21"/>
        <v>0</v>
      </c>
      <c r="I102" s="48">
        <f t="shared" si="22"/>
        <v>9.9450354934826096E-2</v>
      </c>
      <c r="J102" s="48">
        <f t="shared" si="23"/>
        <v>1.2078499359088182</v>
      </c>
      <c r="K102" s="48">
        <f t="shared" si="24"/>
        <v>4.3210608456096713</v>
      </c>
      <c r="L102" s="48">
        <f t="shared" ref="L102:L172" si="25">IF(C74&lt;=$D$62,L$73*D74,"")</f>
        <v>0.34627140174496657</v>
      </c>
      <c r="M102" s="49"/>
      <c r="N102" s="49"/>
      <c r="O102" s="49"/>
      <c r="P102" s="49"/>
      <c r="Q102" s="45">
        <f t="shared" si="18"/>
        <v>5.9746325381982821</v>
      </c>
      <c r="R102" s="2"/>
      <c r="S102" s="2"/>
      <c r="T102" s="2"/>
      <c r="U102" s="2"/>
      <c r="V102" s="2"/>
      <c r="W102" s="2"/>
      <c r="X102" s="2"/>
      <c r="Y102" s="2"/>
    </row>
    <row r="103" spans="1:25" ht="13.2" x14ac:dyDescent="0.25">
      <c r="A103" s="83"/>
      <c r="B103" s="46">
        <v>30</v>
      </c>
      <c r="C103" s="47">
        <f t="shared" si="15"/>
        <v>1.277396174192774</v>
      </c>
      <c r="D103" s="48">
        <f t="shared" si="16"/>
        <v>1.3859150573661587</v>
      </c>
      <c r="E103" s="48">
        <f t="shared" si="17"/>
        <v>0</v>
      </c>
      <c r="F103" s="48">
        <f t="shared" si="19"/>
        <v>0</v>
      </c>
      <c r="G103" s="48">
        <f t="shared" si="20"/>
        <v>0</v>
      </c>
      <c r="H103" s="48">
        <f t="shared" si="21"/>
        <v>0</v>
      </c>
      <c r="I103" s="48">
        <f t="shared" si="22"/>
        <v>0.10710038223750504</v>
      </c>
      <c r="J103" s="48">
        <f t="shared" si="23"/>
        <v>1.3420554843431312</v>
      </c>
      <c r="K103" s="48">
        <f t="shared" si="24"/>
        <v>5.1852730147316057</v>
      </c>
      <c r="L103" s="48">
        <f t="shared" si="25"/>
        <v>0.69254280348993313</v>
      </c>
      <c r="M103" s="49"/>
      <c r="N103" s="49"/>
      <c r="O103" s="49"/>
      <c r="P103" s="49"/>
      <c r="Q103" s="45">
        <f t="shared" si="18"/>
        <v>7.3269716848021744</v>
      </c>
      <c r="R103" s="2"/>
      <c r="S103" s="2"/>
      <c r="T103" s="2"/>
      <c r="U103" s="2"/>
      <c r="V103" s="2"/>
      <c r="W103" s="2"/>
      <c r="X103" s="2"/>
      <c r="Y103" s="2"/>
    </row>
    <row r="104" spans="1:25" ht="13.2" x14ac:dyDescent="0.25">
      <c r="A104" s="83"/>
      <c r="B104" s="46">
        <v>31</v>
      </c>
      <c r="C104" s="47">
        <f t="shared" si="15"/>
        <v>1.3199760466658665</v>
      </c>
      <c r="D104" s="48">
        <f t="shared" si="16"/>
        <v>1.3170996361380229</v>
      </c>
      <c r="E104" s="48">
        <f t="shared" si="17"/>
        <v>0</v>
      </c>
      <c r="F104" s="48">
        <f t="shared" si="19"/>
        <v>0</v>
      </c>
      <c r="G104" s="48">
        <f t="shared" si="20"/>
        <v>0</v>
      </c>
      <c r="H104" s="48">
        <f t="shared" si="21"/>
        <v>0</v>
      </c>
      <c r="I104" s="48">
        <f t="shared" si="22"/>
        <v>0.11475040954018396</v>
      </c>
      <c r="J104" s="48">
        <f t="shared" si="23"/>
        <v>1.4762610327774444</v>
      </c>
      <c r="K104" s="48">
        <f t="shared" si="24"/>
        <v>6.0494851838535402</v>
      </c>
      <c r="L104" s="48">
        <f t="shared" si="25"/>
        <v>1.0388142052348996</v>
      </c>
      <c r="M104" s="49"/>
      <c r="N104" s="49"/>
      <c r="O104" s="49"/>
      <c r="P104" s="49"/>
      <c r="Q104" s="45">
        <f t="shared" si="18"/>
        <v>8.6793108314060685</v>
      </c>
      <c r="R104" s="2"/>
      <c r="S104" s="2"/>
      <c r="T104" s="2"/>
      <c r="U104" s="2"/>
      <c r="V104" s="2"/>
      <c r="W104" s="2"/>
      <c r="X104" s="2"/>
      <c r="Y104" s="2"/>
    </row>
    <row r="105" spans="1:25" ht="13.2" x14ac:dyDescent="0.25">
      <c r="A105" s="83"/>
      <c r="B105" s="46">
        <v>32</v>
      </c>
      <c r="C105" s="47">
        <f t="shared" si="15"/>
        <v>1.3625559191389589</v>
      </c>
      <c r="D105" s="48">
        <f t="shared" si="16"/>
        <v>1.2482842149098876</v>
      </c>
      <c r="E105" s="48">
        <f t="shared" si="17"/>
        <v>0</v>
      </c>
      <c r="F105" s="48">
        <f t="shared" si="19"/>
        <v>0</v>
      </c>
      <c r="G105" s="48">
        <f t="shared" si="20"/>
        <v>0</v>
      </c>
      <c r="H105" s="48">
        <f t="shared" si="21"/>
        <v>0</v>
      </c>
      <c r="I105" s="48">
        <f t="shared" si="22"/>
        <v>0.12240043684286289</v>
      </c>
      <c r="J105" s="48">
        <f t="shared" si="23"/>
        <v>1.6104665812117573</v>
      </c>
      <c r="K105" s="48">
        <f t="shared" si="24"/>
        <v>6.9136973529754746</v>
      </c>
      <c r="L105" s="48">
        <f t="shared" si="25"/>
        <v>1.3850856069798663</v>
      </c>
      <c r="M105" s="49"/>
      <c r="N105" s="49"/>
      <c r="O105" s="49"/>
      <c r="P105" s="49"/>
      <c r="Q105" s="45">
        <f t="shared" si="18"/>
        <v>10.031649978009961</v>
      </c>
      <c r="R105" s="2"/>
      <c r="S105" s="2"/>
      <c r="T105" s="2"/>
      <c r="U105" s="2"/>
      <c r="V105" s="2"/>
      <c r="W105" s="2"/>
      <c r="X105" s="2"/>
      <c r="Y105" s="2"/>
    </row>
    <row r="106" spans="1:25" ht="13.2" x14ac:dyDescent="0.25">
      <c r="A106" s="83"/>
      <c r="B106" s="46">
        <v>33</v>
      </c>
      <c r="C106" s="47">
        <f t="shared" si="15"/>
        <v>1.4051357916120513</v>
      </c>
      <c r="D106" s="48">
        <f t="shared" si="16"/>
        <v>1.1794687936817523</v>
      </c>
      <c r="E106" s="48">
        <f t="shared" si="17"/>
        <v>0</v>
      </c>
      <c r="F106" s="48">
        <f t="shared" si="19"/>
        <v>0</v>
      </c>
      <c r="G106" s="48">
        <f t="shared" si="20"/>
        <v>0</v>
      </c>
      <c r="H106" s="48">
        <f t="shared" si="21"/>
        <v>0</v>
      </c>
      <c r="I106" s="48">
        <f t="shared" si="22"/>
        <v>0.13005046414554183</v>
      </c>
      <c r="J106" s="48">
        <f t="shared" si="23"/>
        <v>1.7446721296460705</v>
      </c>
      <c r="K106" s="48">
        <f t="shared" si="24"/>
        <v>7.7779095220974082</v>
      </c>
      <c r="L106" s="48">
        <f t="shared" si="25"/>
        <v>1.7313570087248327</v>
      </c>
      <c r="M106" s="48">
        <f t="shared" ref="M106:M172" si="26">IF(C74&lt;=$D$62,M$73*D74,"")</f>
        <v>0.26449482156627629</v>
      </c>
      <c r="N106" s="49"/>
      <c r="O106" s="49"/>
      <c r="P106" s="49"/>
      <c r="Q106" s="45">
        <f t="shared" si="18"/>
        <v>11.648483946180129</v>
      </c>
      <c r="R106" s="2"/>
      <c r="S106" s="2"/>
      <c r="T106" s="2"/>
      <c r="U106" s="2"/>
      <c r="V106" s="2"/>
      <c r="W106" s="2"/>
      <c r="X106" s="2"/>
      <c r="Y106" s="2"/>
    </row>
    <row r="107" spans="1:25" ht="13.2" x14ac:dyDescent="0.25">
      <c r="A107" s="83"/>
      <c r="B107" s="46">
        <v>34</v>
      </c>
      <c r="C107" s="47">
        <f t="shared" si="15"/>
        <v>1.4477156640851438</v>
      </c>
      <c r="D107" s="48">
        <f t="shared" si="16"/>
        <v>1.1106533724536165</v>
      </c>
      <c r="E107" s="48">
        <f t="shared" si="17"/>
        <v>0</v>
      </c>
      <c r="F107" s="48">
        <f t="shared" si="19"/>
        <v>0</v>
      </c>
      <c r="G107" s="48">
        <f t="shared" si="20"/>
        <v>0</v>
      </c>
      <c r="H107" s="48">
        <f t="shared" si="21"/>
        <v>0</v>
      </c>
      <c r="I107" s="48">
        <f t="shared" si="22"/>
        <v>0.13770049144822075</v>
      </c>
      <c r="J107" s="48">
        <f t="shared" si="23"/>
        <v>1.8788776780803838</v>
      </c>
      <c r="K107" s="48">
        <f t="shared" si="24"/>
        <v>8.6421216912193426</v>
      </c>
      <c r="L107" s="48">
        <f t="shared" si="25"/>
        <v>2.0776284104697993</v>
      </c>
      <c r="M107" s="48">
        <f t="shared" si="26"/>
        <v>0.52898964313255259</v>
      </c>
      <c r="N107" s="49"/>
      <c r="O107" s="49"/>
      <c r="P107" s="49"/>
      <c r="Q107" s="45">
        <f t="shared" si="18"/>
        <v>13.2653179143503</v>
      </c>
      <c r="R107" s="2"/>
      <c r="S107" s="2"/>
      <c r="T107" s="2"/>
      <c r="U107" s="2"/>
      <c r="V107" s="2"/>
      <c r="W107" s="2"/>
      <c r="X107" s="2"/>
      <c r="Y107" s="2"/>
    </row>
    <row r="108" spans="1:25" ht="13.2" x14ac:dyDescent="0.25">
      <c r="A108" s="83"/>
      <c r="B108" s="46">
        <v>35</v>
      </c>
      <c r="C108" s="47">
        <f t="shared" si="15"/>
        <v>1.4902955365582362</v>
      </c>
      <c r="D108" s="48">
        <f t="shared" si="16"/>
        <v>1.0418379512254812</v>
      </c>
      <c r="E108" s="48">
        <f t="shared" si="17"/>
        <v>0</v>
      </c>
      <c r="F108" s="48">
        <f t="shared" si="19"/>
        <v>0</v>
      </c>
      <c r="G108" s="48">
        <f t="shared" si="20"/>
        <v>0</v>
      </c>
      <c r="H108" s="48">
        <f t="shared" si="21"/>
        <v>0</v>
      </c>
      <c r="I108" s="48">
        <f t="shared" si="22"/>
        <v>0.14290269357798491</v>
      </c>
      <c r="J108" s="48">
        <f t="shared" si="23"/>
        <v>2.0130832265146967</v>
      </c>
      <c r="K108" s="48">
        <f t="shared" si="24"/>
        <v>9.506333860341277</v>
      </c>
      <c r="L108" s="48">
        <f t="shared" si="25"/>
        <v>2.4238998122147657</v>
      </c>
      <c r="M108" s="48">
        <f t="shared" si="26"/>
        <v>0.79348446469882883</v>
      </c>
      <c r="N108" s="49"/>
      <c r="O108" s="49"/>
      <c r="P108" s="49"/>
      <c r="Q108" s="45">
        <f t="shared" si="18"/>
        <v>14.879704057347551</v>
      </c>
      <c r="R108" s="2"/>
      <c r="S108" s="2"/>
      <c r="T108" s="2"/>
      <c r="U108" s="2"/>
      <c r="V108" s="2"/>
      <c r="W108" s="2"/>
      <c r="X108" s="2"/>
      <c r="Y108" s="2"/>
    </row>
    <row r="109" spans="1:25" ht="13.2" x14ac:dyDescent="0.25">
      <c r="A109" s="83"/>
      <c r="B109" s="46">
        <v>36</v>
      </c>
      <c r="C109" s="47">
        <f t="shared" si="15"/>
        <v>1.5328754090313288</v>
      </c>
      <c r="D109" s="48">
        <f t="shared" si="16"/>
        <v>0.9730225299973454</v>
      </c>
      <c r="E109" s="48">
        <f t="shared" si="17"/>
        <v>0</v>
      </c>
      <c r="F109" s="48">
        <f t="shared" si="19"/>
        <v>0</v>
      </c>
      <c r="G109" s="48">
        <f t="shared" si="20"/>
        <v>0</v>
      </c>
      <c r="H109" s="48">
        <f t="shared" si="21"/>
        <v>0</v>
      </c>
      <c r="I109" s="48">
        <f t="shared" si="22"/>
        <v>0.13831359501608992</v>
      </c>
      <c r="J109" s="48">
        <f t="shared" si="23"/>
        <v>2.1472887749490099</v>
      </c>
      <c r="K109" s="48">
        <f t="shared" si="24"/>
        <v>10.370546029463211</v>
      </c>
      <c r="L109" s="48">
        <f t="shared" si="25"/>
        <v>2.7701712139597325</v>
      </c>
      <c r="M109" s="48">
        <f t="shared" si="26"/>
        <v>1.0579792862651052</v>
      </c>
      <c r="N109" s="49"/>
      <c r="O109" s="49"/>
      <c r="P109" s="49"/>
      <c r="Q109" s="45">
        <f t="shared" si="18"/>
        <v>16.484298899653147</v>
      </c>
      <c r="R109" s="2"/>
      <c r="S109" s="2"/>
      <c r="T109" s="2"/>
      <c r="U109" s="2"/>
      <c r="V109" s="2"/>
      <c r="W109" s="2"/>
      <c r="X109" s="2"/>
      <c r="Y109" s="2"/>
    </row>
    <row r="110" spans="1:25" ht="13.2" x14ac:dyDescent="0.25">
      <c r="A110" s="83"/>
      <c r="B110" s="46">
        <v>37</v>
      </c>
      <c r="C110" s="47">
        <f t="shared" si="15"/>
        <v>1.5754552815044212</v>
      </c>
      <c r="D110" s="48">
        <f t="shared" si="16"/>
        <v>0.90420710876921007</v>
      </c>
      <c r="E110" s="48">
        <f t="shared" si="17"/>
        <v>0</v>
      </c>
      <c r="F110" s="48">
        <f t="shared" si="19"/>
        <v>0</v>
      </c>
      <c r="G110" s="48">
        <f t="shared" si="20"/>
        <v>0</v>
      </c>
      <c r="H110" s="48">
        <f t="shared" si="21"/>
        <v>0</v>
      </c>
      <c r="I110" s="48">
        <f t="shared" si="22"/>
        <v>0.13372449645419496</v>
      </c>
      <c r="J110" s="48">
        <f t="shared" si="23"/>
        <v>2.2814943233833231</v>
      </c>
      <c r="K110" s="48">
        <f t="shared" si="24"/>
        <v>11.234758198585146</v>
      </c>
      <c r="L110" s="48">
        <f t="shared" si="25"/>
        <v>3.1164426157046989</v>
      </c>
      <c r="M110" s="48">
        <f t="shared" si="26"/>
        <v>1.3224741078313813</v>
      </c>
      <c r="N110" s="48">
        <f t="shared" ref="N110:N172" si="27">IF(C74&lt;=$D$62,N$73*D74,"")</f>
        <v>0.22427546269844048</v>
      </c>
      <c r="O110" s="49"/>
      <c r="P110" s="49"/>
      <c r="Q110" s="45">
        <f t="shared" si="18"/>
        <v>18.313169204657186</v>
      </c>
      <c r="R110" s="2"/>
      <c r="S110" s="2"/>
      <c r="T110" s="2"/>
      <c r="U110" s="2"/>
      <c r="V110" s="2"/>
      <c r="W110" s="2"/>
      <c r="X110" s="2"/>
      <c r="Y110" s="2"/>
    </row>
    <row r="111" spans="1:25" ht="13.2" x14ac:dyDescent="0.25">
      <c r="A111" s="83"/>
      <c r="B111" s="46">
        <v>38</v>
      </c>
      <c r="C111" s="47">
        <f t="shared" si="15"/>
        <v>1.6180351539775137</v>
      </c>
      <c r="D111" s="48">
        <f t="shared" si="16"/>
        <v>0.83539168754107429</v>
      </c>
      <c r="E111" s="48">
        <f t="shared" si="17"/>
        <v>0</v>
      </c>
      <c r="F111" s="48">
        <f t="shared" si="19"/>
        <v>0</v>
      </c>
      <c r="G111" s="48">
        <f t="shared" si="20"/>
        <v>0</v>
      </c>
      <c r="H111" s="48">
        <f t="shared" si="21"/>
        <v>0</v>
      </c>
      <c r="I111" s="48">
        <f t="shared" si="22"/>
        <v>0.12913539789229997</v>
      </c>
      <c r="J111" s="48">
        <f t="shared" si="23"/>
        <v>2.4156998718176363</v>
      </c>
      <c r="K111" s="48">
        <f t="shared" si="24"/>
        <v>12.09897036770708</v>
      </c>
      <c r="L111" s="48">
        <f t="shared" si="25"/>
        <v>3.4627140174496653</v>
      </c>
      <c r="M111" s="48">
        <f t="shared" si="26"/>
        <v>1.5869689293976577</v>
      </c>
      <c r="N111" s="48">
        <f t="shared" si="27"/>
        <v>0.44855092539688096</v>
      </c>
      <c r="O111" s="49"/>
      <c r="P111" s="49"/>
      <c r="Q111" s="45">
        <f t="shared" si="18"/>
        <v>20.14203950966122</v>
      </c>
      <c r="R111" s="2"/>
      <c r="S111" s="2"/>
      <c r="T111" s="2"/>
      <c r="U111" s="2"/>
      <c r="V111" s="2"/>
      <c r="W111" s="2"/>
      <c r="X111" s="2"/>
      <c r="Y111" s="2"/>
    </row>
    <row r="112" spans="1:25" ht="13.2" x14ac:dyDescent="0.25">
      <c r="A112" s="83"/>
      <c r="B112" s="46">
        <v>39</v>
      </c>
      <c r="C112" s="47">
        <f t="shared" si="15"/>
        <v>1.6606150264506061</v>
      </c>
      <c r="D112" s="48">
        <f t="shared" si="16"/>
        <v>0.76657626631293896</v>
      </c>
      <c r="E112" s="48">
        <f t="shared" si="17"/>
        <v>0</v>
      </c>
      <c r="F112" s="48">
        <f t="shared" si="19"/>
        <v>0</v>
      </c>
      <c r="G112" s="48">
        <f t="shared" si="20"/>
        <v>0</v>
      </c>
      <c r="H112" s="48">
        <f t="shared" si="21"/>
        <v>0</v>
      </c>
      <c r="I112" s="48">
        <f t="shared" si="22"/>
        <v>0.12454629933040499</v>
      </c>
      <c r="J112" s="48">
        <f t="shared" si="23"/>
        <v>2.5069628650420741</v>
      </c>
      <c r="K112" s="48">
        <f t="shared" si="24"/>
        <v>12.963182536829015</v>
      </c>
      <c r="L112" s="48">
        <f t="shared" si="25"/>
        <v>3.8089854191946322</v>
      </c>
      <c r="M112" s="48">
        <f t="shared" si="26"/>
        <v>1.851463750963934</v>
      </c>
      <c r="N112" s="48">
        <f t="shared" si="27"/>
        <v>0.67282638809532147</v>
      </c>
      <c r="O112" s="49"/>
      <c r="P112" s="49"/>
      <c r="Q112" s="45">
        <f t="shared" si="18"/>
        <v>21.927967259455379</v>
      </c>
      <c r="R112" s="2"/>
      <c r="S112" s="2"/>
      <c r="T112" s="2"/>
      <c r="U112" s="2"/>
      <c r="V112" s="2"/>
      <c r="W112" s="2"/>
      <c r="X112" s="2"/>
      <c r="Y112" s="2"/>
    </row>
    <row r="113" spans="1:25" ht="13.2" x14ac:dyDescent="0.25">
      <c r="A113" s="83"/>
      <c r="B113" s="46">
        <v>40</v>
      </c>
      <c r="C113" s="47">
        <f t="shared" si="15"/>
        <v>1.7031948989236987</v>
      </c>
      <c r="D113" s="48">
        <f t="shared" si="16"/>
        <v>0.69776084508480318</v>
      </c>
      <c r="E113" s="48">
        <f t="shared" si="17"/>
        <v>0</v>
      </c>
      <c r="F113" s="48">
        <f t="shared" si="19"/>
        <v>0</v>
      </c>
      <c r="G113" s="48">
        <f t="shared" si="20"/>
        <v>0</v>
      </c>
      <c r="H113" s="48">
        <f t="shared" si="21"/>
        <v>0</v>
      </c>
      <c r="I113" s="48">
        <f t="shared" si="22"/>
        <v>0.11995720076851003</v>
      </c>
      <c r="J113" s="48">
        <f t="shared" si="23"/>
        <v>2.4264556374270088</v>
      </c>
      <c r="K113" s="48">
        <f t="shared" si="24"/>
        <v>13.827394705950949</v>
      </c>
      <c r="L113" s="48">
        <f t="shared" si="25"/>
        <v>4.1552568209395986</v>
      </c>
      <c r="M113" s="48">
        <f t="shared" si="26"/>
        <v>2.1159585725302104</v>
      </c>
      <c r="N113" s="48">
        <f t="shared" si="27"/>
        <v>0.89710185079376192</v>
      </c>
      <c r="O113" s="49"/>
      <c r="P113" s="49"/>
      <c r="Q113" s="45">
        <f t="shared" si="18"/>
        <v>23.542124788410042</v>
      </c>
      <c r="R113" s="2"/>
      <c r="S113" s="2"/>
      <c r="T113" s="2"/>
      <c r="U113" s="2"/>
      <c r="V113" s="2"/>
      <c r="W113" s="2"/>
      <c r="X113" s="2"/>
      <c r="Y113" s="2"/>
    </row>
    <row r="114" spans="1:25" ht="13.2" x14ac:dyDescent="0.25">
      <c r="A114" s="83"/>
      <c r="B114" s="46">
        <v>41</v>
      </c>
      <c r="C114" s="47">
        <f t="shared" si="15"/>
        <v>1.745774771396791</v>
      </c>
      <c r="D114" s="48">
        <f t="shared" si="16"/>
        <v>0.62894542385666785</v>
      </c>
      <c r="E114" s="48">
        <f t="shared" si="17"/>
        <v>0</v>
      </c>
      <c r="F114" s="48">
        <f t="shared" si="19"/>
        <v>0</v>
      </c>
      <c r="G114" s="48">
        <f t="shared" si="20"/>
        <v>0</v>
      </c>
      <c r="H114" s="48">
        <f t="shared" si="21"/>
        <v>0</v>
      </c>
      <c r="I114" s="48">
        <f t="shared" si="22"/>
        <v>0.11536810220661503</v>
      </c>
      <c r="J114" s="48">
        <f t="shared" si="23"/>
        <v>2.3459484098119443</v>
      </c>
      <c r="K114" s="48">
        <f t="shared" si="24"/>
        <v>14.691606875072884</v>
      </c>
      <c r="L114" s="48">
        <f t="shared" si="25"/>
        <v>4.5015282226845654</v>
      </c>
      <c r="M114" s="48">
        <f t="shared" si="26"/>
        <v>2.3804533940964867</v>
      </c>
      <c r="N114" s="48">
        <f t="shared" si="27"/>
        <v>1.1213773134922025</v>
      </c>
      <c r="O114" s="48">
        <f t="shared" ref="O114:O172" si="28">IF(C74&lt;=$D$62,O$73*D74,"")</f>
        <v>0.19903624441037557</v>
      </c>
      <c r="P114" s="49"/>
      <c r="Q114" s="45">
        <f t="shared" si="18"/>
        <v>25.355318561775075</v>
      </c>
      <c r="R114" s="2"/>
      <c r="S114" s="2"/>
      <c r="T114" s="2"/>
      <c r="U114" s="2"/>
      <c r="V114" s="2"/>
      <c r="W114" s="2"/>
      <c r="X114" s="2"/>
      <c r="Y114" s="2"/>
    </row>
    <row r="115" spans="1:25" ht="13.2" x14ac:dyDescent="0.25">
      <c r="A115" s="83"/>
      <c r="B115" s="46">
        <v>42</v>
      </c>
      <c r="C115" s="47">
        <f t="shared" si="15"/>
        <v>1.7883546438698836</v>
      </c>
      <c r="D115" s="48">
        <f t="shared" si="16"/>
        <v>0.56013000262853208</v>
      </c>
      <c r="E115" s="48">
        <f t="shared" si="17"/>
        <v>0</v>
      </c>
      <c r="F115" s="48">
        <f t="shared" si="19"/>
        <v>0</v>
      </c>
      <c r="G115" s="48">
        <f t="shared" si="20"/>
        <v>0</v>
      </c>
      <c r="H115" s="48">
        <f t="shared" si="21"/>
        <v>0</v>
      </c>
      <c r="I115" s="48">
        <f t="shared" si="22"/>
        <v>0.11077900364472007</v>
      </c>
      <c r="J115" s="48">
        <f t="shared" si="23"/>
        <v>2.2654411821968794</v>
      </c>
      <c r="K115" s="48">
        <f t="shared" si="24"/>
        <v>15.555819044194816</v>
      </c>
      <c r="L115" s="48">
        <f t="shared" si="25"/>
        <v>4.8477996244295314</v>
      </c>
      <c r="M115" s="48">
        <f t="shared" si="26"/>
        <v>2.6449482156627626</v>
      </c>
      <c r="N115" s="48">
        <f t="shared" si="27"/>
        <v>1.3456527761906429</v>
      </c>
      <c r="O115" s="48">
        <f t="shared" si="28"/>
        <v>0.39807248882075114</v>
      </c>
      <c r="P115" s="49"/>
      <c r="Q115" s="45">
        <f t="shared" si="18"/>
        <v>27.168512335140104</v>
      </c>
      <c r="R115" s="2"/>
      <c r="S115" s="2"/>
      <c r="T115" s="2"/>
      <c r="U115" s="2"/>
      <c r="V115" s="2"/>
      <c r="W115" s="2"/>
      <c r="X115" s="2"/>
      <c r="Y115" s="2"/>
    </row>
    <row r="116" spans="1:25" ht="13.2" x14ac:dyDescent="0.25">
      <c r="A116" s="83"/>
      <c r="B116" s="46">
        <v>43</v>
      </c>
      <c r="C116" s="47">
        <f t="shared" si="15"/>
        <v>1.830934516342976</v>
      </c>
      <c r="D116" s="48">
        <f t="shared" si="16"/>
        <v>0.49131458140039674</v>
      </c>
      <c r="E116" s="48">
        <f t="shared" si="17"/>
        <v>0</v>
      </c>
      <c r="F116" s="48">
        <f t="shared" si="19"/>
        <v>0</v>
      </c>
      <c r="G116" s="48">
        <f t="shared" si="20"/>
        <v>0</v>
      </c>
      <c r="H116" s="48">
        <f t="shared" si="21"/>
        <v>0</v>
      </c>
      <c r="I116" s="48">
        <f t="shared" si="22"/>
        <v>0.10618990508282507</v>
      </c>
      <c r="J116" s="48">
        <f t="shared" si="23"/>
        <v>2.1849339545818145</v>
      </c>
      <c r="K116" s="48">
        <f t="shared" si="24"/>
        <v>16.143504056142405</v>
      </c>
      <c r="L116" s="48">
        <f t="shared" si="25"/>
        <v>5.1940710261744982</v>
      </c>
      <c r="M116" s="48">
        <f t="shared" si="26"/>
        <v>2.909443037229039</v>
      </c>
      <c r="N116" s="48">
        <f t="shared" si="27"/>
        <v>1.5699282388890834</v>
      </c>
      <c r="O116" s="48">
        <f t="shared" si="28"/>
        <v>0.59710873323112668</v>
      </c>
      <c r="P116" s="49"/>
      <c r="Q116" s="45">
        <f t="shared" si="18"/>
        <v>28.705178951330794</v>
      </c>
      <c r="R116" s="2"/>
      <c r="S116" s="2"/>
      <c r="T116" s="2"/>
      <c r="U116" s="2"/>
      <c r="V116" s="2"/>
      <c r="W116" s="2"/>
      <c r="X116" s="2"/>
      <c r="Y116" s="2"/>
    </row>
    <row r="117" spans="1:25" ht="13.2" x14ac:dyDescent="0.25">
      <c r="A117" s="83"/>
      <c r="B117" s="46">
        <v>44</v>
      </c>
      <c r="C117" s="47">
        <f t="shared" si="15"/>
        <v>1.8735143888160686</v>
      </c>
      <c r="D117" s="48">
        <f t="shared" si="16"/>
        <v>0.42249916017226097</v>
      </c>
      <c r="E117" s="48">
        <f t="shared" si="17"/>
        <v>0</v>
      </c>
      <c r="F117" s="48">
        <f t="shared" si="19"/>
        <v>0</v>
      </c>
      <c r="G117" s="48">
        <f t="shared" si="20"/>
        <v>0</v>
      </c>
      <c r="H117" s="48">
        <f t="shared" si="21"/>
        <v>0</v>
      </c>
      <c r="I117" s="48">
        <f t="shared" si="22"/>
        <v>0.10160080652093011</v>
      </c>
      <c r="J117" s="48">
        <f t="shared" si="23"/>
        <v>2.1044267269667496</v>
      </c>
      <c r="K117" s="48">
        <f t="shared" si="24"/>
        <v>15.625080439392592</v>
      </c>
      <c r="L117" s="48">
        <f t="shared" si="25"/>
        <v>5.5403424279194651</v>
      </c>
      <c r="M117" s="48">
        <f t="shared" si="26"/>
        <v>3.1739378587953153</v>
      </c>
      <c r="N117" s="48">
        <f t="shared" si="27"/>
        <v>1.7942037015875238</v>
      </c>
      <c r="O117" s="48">
        <f t="shared" si="28"/>
        <v>0.79614497764150227</v>
      </c>
      <c r="P117" s="49"/>
      <c r="Q117" s="45">
        <f t="shared" si="18"/>
        <v>29.135736938824081</v>
      </c>
      <c r="R117" s="2"/>
      <c r="S117" s="2"/>
      <c r="T117" s="2"/>
      <c r="U117" s="2"/>
      <c r="V117" s="2"/>
      <c r="W117" s="2"/>
      <c r="X117" s="2"/>
      <c r="Y117" s="2"/>
    </row>
    <row r="118" spans="1:25" ht="13.2" x14ac:dyDescent="0.25">
      <c r="A118" s="83"/>
      <c r="B118" s="46">
        <v>45</v>
      </c>
      <c r="C118" s="47">
        <f t="shared" si="15"/>
        <v>1.9160942612891609</v>
      </c>
      <c r="D118" s="48">
        <f t="shared" si="16"/>
        <v>0.35368373894412564</v>
      </c>
      <c r="E118" s="48">
        <f t="shared" si="17"/>
        <v>0</v>
      </c>
      <c r="F118" s="48">
        <f t="shared" si="19"/>
        <v>0</v>
      </c>
      <c r="G118" s="48">
        <f t="shared" si="20"/>
        <v>0</v>
      </c>
      <c r="H118" s="48">
        <f t="shared" si="21"/>
        <v>0</v>
      </c>
      <c r="I118" s="48">
        <f t="shared" si="22"/>
        <v>9.7011707959035132E-2</v>
      </c>
      <c r="J118" s="48">
        <f t="shared" si="23"/>
        <v>2.0239194993516847</v>
      </c>
      <c r="K118" s="48">
        <f t="shared" si="24"/>
        <v>15.106656822642783</v>
      </c>
      <c r="L118" s="48">
        <f t="shared" si="25"/>
        <v>5.886613829664431</v>
      </c>
      <c r="M118" s="48">
        <f t="shared" si="26"/>
        <v>3.4384326803615917</v>
      </c>
      <c r="N118" s="48">
        <f t="shared" si="27"/>
        <v>2.0184791642859641</v>
      </c>
      <c r="O118" s="48">
        <f t="shared" si="28"/>
        <v>0.99518122205187787</v>
      </c>
      <c r="P118" s="48">
        <f t="shared" ref="P118:P172" si="29">IF(C74&lt;=$D$62,P$73*D74,"")</f>
        <v>0.18122341664559527</v>
      </c>
      <c r="Q118" s="45">
        <f t="shared" si="18"/>
        <v>29.747518342962955</v>
      </c>
      <c r="R118" s="2"/>
      <c r="S118" s="2"/>
      <c r="T118" s="2"/>
      <c r="U118" s="2"/>
      <c r="V118" s="2"/>
      <c r="W118" s="2"/>
      <c r="X118" s="2"/>
      <c r="Y118" s="2"/>
    </row>
    <row r="119" spans="1:25" ht="13.2" x14ac:dyDescent="0.25">
      <c r="A119" s="83"/>
      <c r="B119" s="46">
        <v>46</v>
      </c>
      <c r="C119" s="47">
        <f t="shared" si="15"/>
        <v>1.9586741337622535</v>
      </c>
      <c r="D119" s="48">
        <f t="shared" si="16"/>
        <v>0.28486831771598986</v>
      </c>
      <c r="E119" s="48">
        <f t="shared" si="17"/>
        <v>0</v>
      </c>
      <c r="F119" s="48">
        <f t="shared" si="19"/>
        <v>0</v>
      </c>
      <c r="G119" s="48">
        <f t="shared" si="20"/>
        <v>0</v>
      </c>
      <c r="H119" s="48">
        <f t="shared" si="21"/>
        <v>0</v>
      </c>
      <c r="I119" s="48">
        <f t="shared" si="22"/>
        <v>9.2422609397140143E-2</v>
      </c>
      <c r="J119" s="48">
        <f t="shared" si="23"/>
        <v>1.94341227173662</v>
      </c>
      <c r="K119" s="48">
        <f t="shared" si="24"/>
        <v>14.588233205892973</v>
      </c>
      <c r="L119" s="48">
        <f t="shared" si="25"/>
        <v>6.2328852314093979</v>
      </c>
      <c r="M119" s="48">
        <f t="shared" si="26"/>
        <v>3.702927501927868</v>
      </c>
      <c r="N119" s="48">
        <f t="shared" si="27"/>
        <v>2.242754626984405</v>
      </c>
      <c r="O119" s="48">
        <f t="shared" si="28"/>
        <v>1.1942174664622534</v>
      </c>
      <c r="P119" s="48">
        <f t="shared" si="29"/>
        <v>0.36244683329119054</v>
      </c>
      <c r="Q119" s="45">
        <f t="shared" si="18"/>
        <v>30.359299747101844</v>
      </c>
      <c r="R119" s="2"/>
      <c r="S119" s="2"/>
      <c r="T119" s="2"/>
      <c r="U119" s="2"/>
      <c r="V119" s="2"/>
      <c r="W119" s="2"/>
      <c r="X119" s="2"/>
      <c r="Y119" s="2"/>
    </row>
    <row r="120" spans="1:25" ht="13.2" x14ac:dyDescent="0.25">
      <c r="A120" s="83"/>
      <c r="B120" s="46">
        <v>47</v>
      </c>
      <c r="C120" s="47">
        <f t="shared" si="15"/>
        <v>2.0012540062353459</v>
      </c>
      <c r="D120" s="48">
        <f t="shared" si="16"/>
        <v>0.21605289648785453</v>
      </c>
      <c r="E120" s="48">
        <f t="shared" si="17"/>
        <v>0</v>
      </c>
      <c r="F120" s="48">
        <f t="shared" si="19"/>
        <v>0</v>
      </c>
      <c r="G120" s="48">
        <f t="shared" si="20"/>
        <v>0</v>
      </c>
      <c r="H120" s="48">
        <f t="shared" si="21"/>
        <v>0</v>
      </c>
      <c r="I120" s="48">
        <f t="shared" si="22"/>
        <v>8.7833510835245154E-2</v>
      </c>
      <c r="J120" s="48">
        <f t="shared" si="23"/>
        <v>1.8629050441215549</v>
      </c>
      <c r="K120" s="48">
        <f t="shared" si="24"/>
        <v>14.06980958914316</v>
      </c>
      <c r="L120" s="48">
        <f t="shared" si="25"/>
        <v>6.4683580934478471</v>
      </c>
      <c r="M120" s="48">
        <f t="shared" si="26"/>
        <v>3.9674223234941444</v>
      </c>
      <c r="N120" s="48">
        <f t="shared" si="27"/>
        <v>2.4670300896828454</v>
      </c>
      <c r="O120" s="48">
        <f t="shared" si="28"/>
        <v>1.3932537108726291</v>
      </c>
      <c r="P120" s="48">
        <f t="shared" si="29"/>
        <v>0.54367024993678581</v>
      </c>
      <c r="Q120" s="45">
        <f t="shared" si="18"/>
        <v>30.860282611534213</v>
      </c>
      <c r="R120" s="2"/>
      <c r="S120" s="2"/>
      <c r="T120" s="2"/>
      <c r="U120" s="2"/>
      <c r="V120" s="2"/>
      <c r="W120" s="2"/>
      <c r="X120" s="2"/>
      <c r="Y120" s="2"/>
    </row>
    <row r="121" spans="1:25" ht="13.2" x14ac:dyDescent="0.25">
      <c r="A121" s="83"/>
      <c r="B121" s="46">
        <v>48</v>
      </c>
      <c r="C121" s="47">
        <f t="shared" si="15"/>
        <v>2.0438338787084382</v>
      </c>
      <c r="D121" s="48">
        <f t="shared" si="16"/>
        <v>0.1472374752597192</v>
      </c>
      <c r="E121" s="48">
        <f t="shared" si="17"/>
        <v>0</v>
      </c>
      <c r="F121" s="48">
        <f t="shared" si="19"/>
        <v>0</v>
      </c>
      <c r="G121" s="48">
        <f t="shared" si="20"/>
        <v>0</v>
      </c>
      <c r="H121" s="48">
        <f t="shared" si="21"/>
        <v>0</v>
      </c>
      <c r="I121" s="48">
        <f t="shared" si="22"/>
        <v>8.324441227335018E-2</v>
      </c>
      <c r="J121" s="48">
        <f t="shared" si="23"/>
        <v>1.7823978165064902</v>
      </c>
      <c r="K121" s="48">
        <f t="shared" si="24"/>
        <v>13.551385972393351</v>
      </c>
      <c r="L121" s="48">
        <f t="shared" si="25"/>
        <v>6.2606367966602239</v>
      </c>
      <c r="M121" s="48">
        <f t="shared" si="26"/>
        <v>4.2319171450604207</v>
      </c>
      <c r="N121" s="48">
        <f t="shared" si="27"/>
        <v>2.6913055523812859</v>
      </c>
      <c r="O121" s="48">
        <f t="shared" si="28"/>
        <v>1.5922899552830045</v>
      </c>
      <c r="P121" s="48">
        <f t="shared" si="29"/>
        <v>0.72489366658238108</v>
      </c>
      <c r="Q121" s="45">
        <f t="shared" si="18"/>
        <v>30.918071317140512</v>
      </c>
      <c r="R121" s="2"/>
      <c r="S121" s="2"/>
      <c r="T121" s="2"/>
      <c r="U121" s="2"/>
      <c r="V121" s="2"/>
      <c r="W121" s="2"/>
      <c r="X121" s="2"/>
      <c r="Y121" s="2"/>
    </row>
    <row r="122" spans="1:25" ht="13.2" x14ac:dyDescent="0.25">
      <c r="A122" s="83"/>
      <c r="B122" s="46">
        <v>49</v>
      </c>
      <c r="C122" s="47">
        <f t="shared" si="15"/>
        <v>2.0864137511815306</v>
      </c>
      <c r="D122" s="48">
        <f t="shared" si="16"/>
        <v>7.8422054031583865E-2</v>
      </c>
      <c r="E122" s="48">
        <f t="shared" si="17"/>
        <v>0</v>
      </c>
      <c r="F122" s="48">
        <f t="shared" si="19"/>
        <v>0</v>
      </c>
      <c r="G122" s="48">
        <f t="shared" si="20"/>
        <v>0</v>
      </c>
      <c r="H122" s="48">
        <f t="shared" si="21"/>
        <v>0</v>
      </c>
      <c r="I122" s="48">
        <f t="shared" si="22"/>
        <v>7.8655313711455219E-2</v>
      </c>
      <c r="J122" s="48">
        <f t="shared" si="23"/>
        <v>1.7018905888914255</v>
      </c>
      <c r="K122" s="48">
        <f t="shared" si="24"/>
        <v>13.032962355643539</v>
      </c>
      <c r="L122" s="48">
        <f t="shared" si="25"/>
        <v>6.0529154998726025</v>
      </c>
      <c r="M122" s="48">
        <f t="shared" si="26"/>
        <v>4.4964119666266971</v>
      </c>
      <c r="N122" s="48">
        <f t="shared" si="27"/>
        <v>2.9155810150797263</v>
      </c>
      <c r="O122" s="48">
        <f t="shared" si="28"/>
        <v>1.79132619969338</v>
      </c>
      <c r="P122" s="48">
        <f t="shared" si="29"/>
        <v>0.90611708322797635</v>
      </c>
      <c r="Q122" s="45">
        <f t="shared" si="18"/>
        <v>30.975860022746804</v>
      </c>
      <c r="R122" s="2"/>
      <c r="S122" s="2"/>
      <c r="T122" s="2"/>
      <c r="U122" s="2"/>
      <c r="V122" s="2"/>
      <c r="W122" s="2"/>
      <c r="X122" s="2"/>
      <c r="Y122" s="2"/>
    </row>
    <row r="123" spans="1:25" ht="13.2" x14ac:dyDescent="0.25">
      <c r="A123" s="83"/>
      <c r="B123" s="46">
        <v>50</v>
      </c>
      <c r="C123" s="47">
        <f t="shared" si="15"/>
        <v>2.1289936236546234</v>
      </c>
      <c r="D123" s="48">
        <f t="shared" si="16"/>
        <v>9.6066328034476456E-3</v>
      </c>
      <c r="E123" s="48">
        <f t="shared" si="17"/>
        <v>0</v>
      </c>
      <c r="F123" s="48">
        <f t="shared" si="19"/>
        <v>0</v>
      </c>
      <c r="G123" s="48">
        <f t="shared" si="20"/>
        <v>0</v>
      </c>
      <c r="H123" s="48">
        <f t="shared" si="21"/>
        <v>0</v>
      </c>
      <c r="I123" s="48">
        <f t="shared" si="22"/>
        <v>7.406621514956023E-2</v>
      </c>
      <c r="J123" s="48">
        <f t="shared" si="23"/>
        <v>1.6213833612763606</v>
      </c>
      <c r="K123" s="48">
        <f t="shared" si="24"/>
        <v>12.51453873889373</v>
      </c>
      <c r="L123" s="48">
        <f t="shared" si="25"/>
        <v>5.8451942030849802</v>
      </c>
      <c r="M123" s="48">
        <f t="shared" si="26"/>
        <v>4.7609067881929734</v>
      </c>
      <c r="N123" s="48">
        <f t="shared" si="27"/>
        <v>3.1398564777781668</v>
      </c>
      <c r="O123" s="48">
        <f t="shared" si="28"/>
        <v>1.9903624441037557</v>
      </c>
      <c r="P123" s="48">
        <f t="shared" si="29"/>
        <v>1.0873404998735716</v>
      </c>
      <c r="Q123" s="45">
        <f t="shared" si="18"/>
        <v>31.0336487283531</v>
      </c>
      <c r="R123" s="2"/>
      <c r="S123" s="2"/>
      <c r="T123" s="2"/>
      <c r="U123" s="2"/>
      <c r="V123" s="2"/>
      <c r="W123" s="2"/>
      <c r="X123" s="2"/>
      <c r="Y123" s="2"/>
    </row>
    <row r="124" spans="1:25" ht="13.2" x14ac:dyDescent="0.25">
      <c r="A124" s="83"/>
      <c r="B124" s="46">
        <v>51</v>
      </c>
      <c r="C124" s="47">
        <f t="shared" si="15"/>
        <v>2.1715734961277158</v>
      </c>
      <c r="D124" s="48">
        <f t="shared" si="16"/>
        <v>0</v>
      </c>
      <c r="E124" s="48" t="str">
        <f t="shared" si="17"/>
        <v/>
      </c>
      <c r="F124" s="48">
        <f t="shared" si="19"/>
        <v>0</v>
      </c>
      <c r="G124" s="48">
        <f t="shared" si="20"/>
        <v>0</v>
      </c>
      <c r="H124" s="48">
        <f t="shared" si="21"/>
        <v>0</v>
      </c>
      <c r="I124" s="48">
        <f t="shared" si="22"/>
        <v>6.9477116587665255E-2</v>
      </c>
      <c r="J124" s="48">
        <f t="shared" si="23"/>
        <v>1.5408761336612955</v>
      </c>
      <c r="K124" s="48">
        <f t="shared" si="24"/>
        <v>11.996115122143918</v>
      </c>
      <c r="L124" s="48">
        <f t="shared" si="25"/>
        <v>5.6374729062973579</v>
      </c>
      <c r="M124" s="48">
        <f t="shared" si="26"/>
        <v>4.9407696134644379</v>
      </c>
      <c r="N124" s="48">
        <f t="shared" si="27"/>
        <v>3.3641319404766072</v>
      </c>
      <c r="O124" s="48">
        <f t="shared" si="28"/>
        <v>2.1893986885141312</v>
      </c>
      <c r="P124" s="48">
        <f t="shared" si="29"/>
        <v>1.2685639165191669</v>
      </c>
      <c r="Q124" s="45">
        <f t="shared" si="18"/>
        <v>31.006805437664582</v>
      </c>
      <c r="R124" s="2"/>
      <c r="S124" s="2"/>
      <c r="T124" s="2"/>
      <c r="U124" s="2"/>
      <c r="V124" s="2"/>
      <c r="W124" s="2"/>
      <c r="X124" s="2"/>
      <c r="Y124" s="2"/>
    </row>
    <row r="125" spans="1:25" ht="13.2" x14ac:dyDescent="0.25">
      <c r="A125" s="83"/>
      <c r="B125" s="46">
        <v>52</v>
      </c>
      <c r="C125" s="47">
        <f t="shared" si="15"/>
        <v>2.2141533686008081</v>
      </c>
      <c r="D125" s="48">
        <f t="shared" si="16"/>
        <v>0</v>
      </c>
      <c r="E125" s="48" t="str">
        <f t="shared" si="17"/>
        <v/>
      </c>
      <c r="F125" s="48">
        <f t="shared" si="19"/>
        <v>0</v>
      </c>
      <c r="G125" s="48">
        <f t="shared" si="20"/>
        <v>0</v>
      </c>
      <c r="H125" s="48">
        <f t="shared" si="21"/>
        <v>0</v>
      </c>
      <c r="I125" s="48">
        <f t="shared" si="22"/>
        <v>6.4888018025770267E-2</v>
      </c>
      <c r="J125" s="48">
        <f t="shared" si="23"/>
        <v>1.4603689060462308</v>
      </c>
      <c r="K125" s="48">
        <f t="shared" si="24"/>
        <v>11.477691505394109</v>
      </c>
      <c r="L125" s="48">
        <f t="shared" si="25"/>
        <v>5.4297516095097356</v>
      </c>
      <c r="M125" s="48">
        <f t="shared" si="26"/>
        <v>4.782104453556653</v>
      </c>
      <c r="N125" s="48">
        <f t="shared" si="27"/>
        <v>3.5884074031750477</v>
      </c>
      <c r="O125" s="48">
        <f t="shared" si="28"/>
        <v>2.3884349329245067</v>
      </c>
      <c r="P125" s="48">
        <f t="shared" si="29"/>
        <v>1.4497873331647622</v>
      </c>
      <c r="Q125" s="45">
        <f t="shared" si="18"/>
        <v>30.641434161796816</v>
      </c>
      <c r="R125" s="2"/>
      <c r="S125" s="2"/>
      <c r="T125" s="2"/>
      <c r="U125" s="2"/>
      <c r="V125" s="2"/>
      <c r="W125" s="2"/>
      <c r="X125" s="2"/>
      <c r="Y125" s="2"/>
    </row>
    <row r="126" spans="1:25" ht="13.2" x14ac:dyDescent="0.25">
      <c r="A126" s="83"/>
      <c r="B126" s="46">
        <v>53</v>
      </c>
      <c r="C126" s="47">
        <f t="shared" si="15"/>
        <v>2.2567332410739005</v>
      </c>
      <c r="D126" s="48">
        <f t="shared" si="16"/>
        <v>0</v>
      </c>
      <c r="E126" s="48" t="str">
        <f t="shared" si="17"/>
        <v/>
      </c>
      <c r="F126" s="48">
        <f t="shared" si="19"/>
        <v>0</v>
      </c>
      <c r="G126" s="48">
        <f t="shared" si="20"/>
        <v>0</v>
      </c>
      <c r="H126" s="48">
        <f t="shared" si="21"/>
        <v>0</v>
      </c>
      <c r="I126" s="48">
        <f t="shared" si="22"/>
        <v>6.0298919463875299E-2</v>
      </c>
      <c r="J126" s="48">
        <f t="shared" si="23"/>
        <v>1.3798616784311661</v>
      </c>
      <c r="K126" s="48">
        <f t="shared" si="24"/>
        <v>10.959267888644298</v>
      </c>
      <c r="L126" s="48">
        <f t="shared" si="25"/>
        <v>5.2220303127221124</v>
      </c>
      <c r="M126" s="48">
        <f t="shared" si="26"/>
        <v>4.6234392936488691</v>
      </c>
      <c r="N126" s="48">
        <f t="shared" si="27"/>
        <v>3.8126828658734881</v>
      </c>
      <c r="O126" s="48">
        <f t="shared" si="28"/>
        <v>2.5874711773348822</v>
      </c>
      <c r="P126" s="48">
        <f t="shared" si="29"/>
        <v>1.6310107498103574</v>
      </c>
      <c r="Q126" s="45">
        <f t="shared" si="18"/>
        <v>30.276062885929047</v>
      </c>
      <c r="R126" s="2"/>
      <c r="S126" s="2"/>
      <c r="T126" s="2"/>
      <c r="U126" s="2"/>
      <c r="V126" s="2"/>
      <c r="W126" s="2"/>
      <c r="X126" s="2"/>
      <c r="Y126" s="2"/>
    </row>
    <row r="127" spans="1:25" ht="13.2" x14ac:dyDescent="0.25">
      <c r="A127" s="83"/>
      <c r="B127" s="46">
        <v>54</v>
      </c>
      <c r="C127" s="47">
        <f t="shared" si="15"/>
        <v>2.2993131135469933</v>
      </c>
      <c r="D127" s="48">
        <f t="shared" si="16"/>
        <v>0</v>
      </c>
      <c r="E127" s="48" t="str">
        <f t="shared" si="17"/>
        <v/>
      </c>
      <c r="F127" s="48">
        <f t="shared" si="19"/>
        <v>0</v>
      </c>
      <c r="G127" s="48">
        <f t="shared" si="20"/>
        <v>0</v>
      </c>
      <c r="H127" s="48">
        <f t="shared" si="21"/>
        <v>0</v>
      </c>
      <c r="I127" s="48">
        <f t="shared" si="22"/>
        <v>5.5709820901980303E-2</v>
      </c>
      <c r="J127" s="48">
        <f t="shared" si="23"/>
        <v>1.299354450816101</v>
      </c>
      <c r="K127" s="48">
        <f t="shared" si="24"/>
        <v>10.440844271894488</v>
      </c>
      <c r="L127" s="48">
        <f t="shared" si="25"/>
        <v>5.014309015934491</v>
      </c>
      <c r="M127" s="48">
        <f t="shared" si="26"/>
        <v>4.4647741337410851</v>
      </c>
      <c r="N127" s="48">
        <f t="shared" si="27"/>
        <v>4.0369583285719282</v>
      </c>
      <c r="O127" s="48">
        <f t="shared" si="28"/>
        <v>2.7865074217452581</v>
      </c>
      <c r="P127" s="48">
        <f t="shared" si="29"/>
        <v>1.8122341664559527</v>
      </c>
      <c r="Q127" s="45">
        <f t="shared" si="18"/>
        <v>29.910691610061281</v>
      </c>
      <c r="R127" s="2"/>
      <c r="S127" s="2"/>
      <c r="T127" s="2"/>
      <c r="U127" s="2"/>
      <c r="V127" s="2"/>
      <c r="W127" s="2"/>
      <c r="X127" s="2"/>
      <c r="Y127" s="2"/>
    </row>
    <row r="128" spans="1:25" ht="13.2" x14ac:dyDescent="0.25">
      <c r="A128" s="83"/>
      <c r="B128" s="46">
        <v>55</v>
      </c>
      <c r="C128" s="47">
        <f t="shared" si="15"/>
        <v>2.3418929860200857</v>
      </c>
      <c r="D128" s="48">
        <f t="shared" si="16"/>
        <v>0</v>
      </c>
      <c r="E128" s="48" t="str">
        <f t="shared" si="17"/>
        <v/>
      </c>
      <c r="F128" s="48" t="str">
        <f t="shared" si="19"/>
        <v/>
      </c>
      <c r="G128" s="48">
        <f t="shared" si="20"/>
        <v>0</v>
      </c>
      <c r="H128" s="48">
        <f t="shared" si="21"/>
        <v>0</v>
      </c>
      <c r="I128" s="48">
        <f t="shared" si="22"/>
        <v>5.1120722340085335E-2</v>
      </c>
      <c r="J128" s="48">
        <f t="shared" si="23"/>
        <v>1.2188472232010363</v>
      </c>
      <c r="K128" s="48">
        <f t="shared" si="24"/>
        <v>9.9224206551446752</v>
      </c>
      <c r="L128" s="48">
        <f t="shared" si="25"/>
        <v>4.8065877191468678</v>
      </c>
      <c r="M128" s="48">
        <f t="shared" si="26"/>
        <v>4.3061089738333003</v>
      </c>
      <c r="N128" s="48">
        <f t="shared" si="27"/>
        <v>4.1894710247416667</v>
      </c>
      <c r="O128" s="48">
        <f t="shared" si="28"/>
        <v>2.9855436661556336</v>
      </c>
      <c r="P128" s="48">
        <f t="shared" si="29"/>
        <v>1.993457583101548</v>
      </c>
      <c r="Q128" s="45">
        <f t="shared" si="18"/>
        <v>29.473557567664816</v>
      </c>
      <c r="R128" s="2"/>
      <c r="S128" s="2"/>
      <c r="T128" s="2"/>
      <c r="U128" s="2"/>
      <c r="V128" s="2"/>
      <c r="W128" s="2"/>
      <c r="X128" s="2"/>
      <c r="Y128" s="2"/>
    </row>
    <row r="129" spans="1:25" ht="13.2" x14ac:dyDescent="0.25">
      <c r="A129" s="83"/>
      <c r="B129" s="46">
        <v>56</v>
      </c>
      <c r="C129" s="47">
        <f t="shared" si="15"/>
        <v>2.384472858493178</v>
      </c>
      <c r="D129" s="48">
        <f t="shared" si="16"/>
        <v>0</v>
      </c>
      <c r="E129" s="48" t="str">
        <f t="shared" si="17"/>
        <v/>
      </c>
      <c r="F129" s="48" t="str">
        <f t="shared" si="19"/>
        <v/>
      </c>
      <c r="G129" s="48">
        <f t="shared" si="20"/>
        <v>0</v>
      </c>
      <c r="H129" s="48">
        <f t="shared" si="21"/>
        <v>0</v>
      </c>
      <c r="I129" s="48">
        <f t="shared" si="22"/>
        <v>4.653162377819034E-2</v>
      </c>
      <c r="J129" s="48">
        <f t="shared" si="23"/>
        <v>1.1383399955859712</v>
      </c>
      <c r="K129" s="48">
        <f t="shared" si="24"/>
        <v>9.4039970383948663</v>
      </c>
      <c r="L129" s="48">
        <f t="shared" si="25"/>
        <v>4.5988664223592455</v>
      </c>
      <c r="M129" s="48">
        <f t="shared" si="26"/>
        <v>4.1474438139255172</v>
      </c>
      <c r="N129" s="48">
        <f t="shared" si="27"/>
        <v>4.0549326547965903</v>
      </c>
      <c r="O129" s="48">
        <f t="shared" si="28"/>
        <v>3.1845799105660091</v>
      </c>
      <c r="P129" s="48">
        <f t="shared" si="29"/>
        <v>2.1746809997471432</v>
      </c>
      <c r="Q129" s="45">
        <f t="shared" si="18"/>
        <v>28.74937245915353</v>
      </c>
      <c r="R129" s="2"/>
      <c r="S129" s="2"/>
      <c r="T129" s="2"/>
      <c r="U129" s="2"/>
      <c r="V129" s="2"/>
      <c r="W129" s="2"/>
      <c r="X129" s="2"/>
      <c r="Y129" s="2"/>
    </row>
    <row r="130" spans="1:25" ht="13.2" x14ac:dyDescent="0.25">
      <c r="A130" s="83"/>
      <c r="B130" s="46">
        <v>57</v>
      </c>
      <c r="C130" s="47">
        <f t="shared" si="15"/>
        <v>2.4270527309662704</v>
      </c>
      <c r="D130" s="48">
        <f t="shared" si="16"/>
        <v>0</v>
      </c>
      <c r="E130" s="48" t="str">
        <f t="shared" si="17"/>
        <v/>
      </c>
      <c r="F130" s="48" t="str">
        <f t="shared" si="19"/>
        <v/>
      </c>
      <c r="G130" s="48">
        <f t="shared" si="20"/>
        <v>0</v>
      </c>
      <c r="H130" s="48">
        <f t="shared" si="21"/>
        <v>0</v>
      </c>
      <c r="I130" s="48">
        <f t="shared" si="22"/>
        <v>4.1942525216295372E-2</v>
      </c>
      <c r="J130" s="48">
        <f t="shared" si="23"/>
        <v>1.0578327679709068</v>
      </c>
      <c r="K130" s="48">
        <f t="shared" si="24"/>
        <v>8.8855734216450575</v>
      </c>
      <c r="L130" s="48">
        <f t="shared" si="25"/>
        <v>4.3911451255716232</v>
      </c>
      <c r="M130" s="48">
        <f t="shared" si="26"/>
        <v>3.9887786540177324</v>
      </c>
      <c r="N130" s="48">
        <f t="shared" si="27"/>
        <v>3.9203942848515156</v>
      </c>
      <c r="O130" s="48">
        <f t="shared" si="28"/>
        <v>3.3836161549763846</v>
      </c>
      <c r="P130" s="48">
        <f t="shared" si="29"/>
        <v>2.3559044163927387</v>
      </c>
      <c r="Q130" s="45">
        <f t="shared" si="18"/>
        <v>28.025187350642252</v>
      </c>
      <c r="R130" s="2"/>
      <c r="S130" s="2"/>
      <c r="T130" s="2"/>
      <c r="U130" s="2"/>
      <c r="V130" s="2"/>
      <c r="W130" s="2"/>
      <c r="X130" s="2"/>
      <c r="Y130" s="2"/>
    </row>
    <row r="131" spans="1:25" ht="13.2" x14ac:dyDescent="0.25">
      <c r="A131" s="83"/>
      <c r="B131" s="46">
        <v>58</v>
      </c>
      <c r="C131" s="47">
        <f t="shared" si="15"/>
        <v>2.4696326034393632</v>
      </c>
      <c r="D131" s="48">
        <f t="shared" si="16"/>
        <v>0</v>
      </c>
      <c r="E131" s="48" t="str">
        <f t="shared" si="17"/>
        <v/>
      </c>
      <c r="F131" s="48" t="str">
        <f t="shared" si="19"/>
        <v/>
      </c>
      <c r="G131" s="48">
        <f t="shared" si="20"/>
        <v>0</v>
      </c>
      <c r="H131" s="48">
        <f t="shared" si="21"/>
        <v>0</v>
      </c>
      <c r="I131" s="48">
        <f t="shared" si="22"/>
        <v>3.7353426654400376E-2</v>
      </c>
      <c r="J131" s="48">
        <f t="shared" si="23"/>
        <v>0.97732554035584152</v>
      </c>
      <c r="K131" s="48">
        <f t="shared" si="24"/>
        <v>8.3671498048952451</v>
      </c>
      <c r="L131" s="48">
        <f t="shared" si="25"/>
        <v>4.1834238287840009</v>
      </c>
      <c r="M131" s="48">
        <f t="shared" si="26"/>
        <v>3.8301134941099484</v>
      </c>
      <c r="N131" s="48">
        <f t="shared" si="27"/>
        <v>3.7858559149064406</v>
      </c>
      <c r="O131" s="48">
        <f t="shared" si="28"/>
        <v>3.5826523993867601</v>
      </c>
      <c r="P131" s="48">
        <f t="shared" si="29"/>
        <v>2.5371278330383338</v>
      </c>
      <c r="Q131" s="45">
        <f t="shared" si="18"/>
        <v>27.30100224213097</v>
      </c>
      <c r="R131" s="2"/>
      <c r="S131" s="2"/>
      <c r="T131" s="2"/>
      <c r="U131" s="2"/>
      <c r="V131" s="2"/>
      <c r="W131" s="2"/>
      <c r="X131" s="2"/>
      <c r="Y131" s="2"/>
    </row>
    <row r="132" spans="1:25" ht="13.2" x14ac:dyDescent="0.25">
      <c r="A132" s="83"/>
      <c r="B132" s="46">
        <v>59</v>
      </c>
      <c r="C132" s="47">
        <f t="shared" si="15"/>
        <v>2.5122124759124556</v>
      </c>
      <c r="D132" s="48">
        <f t="shared" si="16"/>
        <v>0</v>
      </c>
      <c r="E132" s="48" t="str">
        <f t="shared" si="17"/>
        <v/>
      </c>
      <c r="F132" s="48" t="str">
        <f t="shared" si="19"/>
        <v/>
      </c>
      <c r="G132" s="48" t="str">
        <f t="shared" si="20"/>
        <v/>
      </c>
      <c r="H132" s="48">
        <f t="shared" si="21"/>
        <v>0</v>
      </c>
      <c r="I132" s="48">
        <f t="shared" si="22"/>
        <v>3.2764328092505415E-2</v>
      </c>
      <c r="J132" s="48">
        <f t="shared" si="23"/>
        <v>0.89681831274077684</v>
      </c>
      <c r="K132" s="48">
        <f t="shared" si="24"/>
        <v>7.8487261881454353</v>
      </c>
      <c r="L132" s="48">
        <f t="shared" si="25"/>
        <v>3.9757025319963777</v>
      </c>
      <c r="M132" s="48">
        <f t="shared" si="26"/>
        <v>3.6714483342021635</v>
      </c>
      <c r="N132" s="48">
        <f t="shared" si="27"/>
        <v>3.6513175449613651</v>
      </c>
      <c r="O132" s="48">
        <f t="shared" si="28"/>
        <v>3.7180018215004988</v>
      </c>
      <c r="P132" s="48">
        <f t="shared" si="29"/>
        <v>2.7183512496839293</v>
      </c>
      <c r="Q132" s="45">
        <f t="shared" si="18"/>
        <v>26.513130311323057</v>
      </c>
      <c r="R132" s="2"/>
      <c r="S132" s="2"/>
      <c r="T132" s="2"/>
      <c r="U132" s="2"/>
      <c r="V132" s="2"/>
      <c r="W132" s="2"/>
      <c r="X132" s="2"/>
      <c r="Y132" s="2"/>
    </row>
    <row r="133" spans="1:25" ht="13.2" x14ac:dyDescent="0.25">
      <c r="A133" s="83"/>
      <c r="B133" s="46">
        <v>60</v>
      </c>
      <c r="C133" s="47">
        <f t="shared" si="15"/>
        <v>2.5547923483855479</v>
      </c>
      <c r="D133" s="48">
        <f t="shared" si="16"/>
        <v>0</v>
      </c>
      <c r="E133" s="48" t="str">
        <f t="shared" si="17"/>
        <v/>
      </c>
      <c r="F133" s="48" t="str">
        <f t="shared" si="19"/>
        <v/>
      </c>
      <c r="G133" s="48" t="str">
        <f t="shared" si="20"/>
        <v/>
      </c>
      <c r="H133" s="48">
        <f t="shared" si="21"/>
        <v>0</v>
      </c>
      <c r="I133" s="48">
        <f t="shared" si="22"/>
        <v>2.8175229530610416E-2</v>
      </c>
      <c r="J133" s="48">
        <f t="shared" si="23"/>
        <v>0.81631108512571171</v>
      </c>
      <c r="K133" s="48">
        <f t="shared" si="24"/>
        <v>7.3303025713956229</v>
      </c>
      <c r="L133" s="48">
        <f t="shared" si="25"/>
        <v>3.7679812352087558</v>
      </c>
      <c r="M133" s="48">
        <f t="shared" si="26"/>
        <v>3.51278317429438</v>
      </c>
      <c r="N133" s="48">
        <f t="shared" si="27"/>
        <v>3.5167791750162904</v>
      </c>
      <c r="O133" s="48">
        <f t="shared" si="28"/>
        <v>3.5986039544276878</v>
      </c>
      <c r="P133" s="48">
        <f t="shared" si="29"/>
        <v>2.8995746663295243</v>
      </c>
      <c r="Q133" s="45">
        <f t="shared" si="18"/>
        <v>25.470511091328586</v>
      </c>
      <c r="R133" s="2"/>
      <c r="S133" s="2"/>
      <c r="T133" s="2"/>
      <c r="U133" s="2"/>
      <c r="V133" s="2"/>
      <c r="W133" s="2"/>
      <c r="X133" s="2"/>
      <c r="Y133" s="2"/>
    </row>
    <row r="134" spans="1:25" ht="13.2" x14ac:dyDescent="0.25">
      <c r="A134" s="83"/>
      <c r="B134" s="46">
        <v>61</v>
      </c>
      <c r="C134" s="47">
        <f t="shared" si="15"/>
        <v>2.5973722208586403</v>
      </c>
      <c r="D134" s="48">
        <f t="shared" si="16"/>
        <v>0</v>
      </c>
      <c r="E134" s="48" t="str">
        <f t="shared" si="17"/>
        <v/>
      </c>
      <c r="F134" s="48" t="str">
        <f t="shared" si="19"/>
        <v/>
      </c>
      <c r="G134" s="48" t="str">
        <f t="shared" si="20"/>
        <v/>
      </c>
      <c r="H134" s="48">
        <f t="shared" si="21"/>
        <v>0</v>
      </c>
      <c r="I134" s="48">
        <f t="shared" si="22"/>
        <v>2.3586130968715452E-2</v>
      </c>
      <c r="J134" s="48">
        <f t="shared" si="23"/>
        <v>0.73580385751064714</v>
      </c>
      <c r="K134" s="48">
        <f t="shared" si="24"/>
        <v>6.8118789546458141</v>
      </c>
      <c r="L134" s="48">
        <f t="shared" si="25"/>
        <v>3.5602599384211344</v>
      </c>
      <c r="M134" s="48">
        <f t="shared" si="26"/>
        <v>3.3541180143865956</v>
      </c>
      <c r="N134" s="48">
        <f t="shared" si="27"/>
        <v>3.3822408050712145</v>
      </c>
      <c r="O134" s="48">
        <f t="shared" si="28"/>
        <v>3.4792060873548771</v>
      </c>
      <c r="P134" s="48">
        <f t="shared" si="29"/>
        <v>3.0807980829751198</v>
      </c>
      <c r="Q134" s="45">
        <f t="shared" si="18"/>
        <v>24.427891871334118</v>
      </c>
      <c r="R134" s="2"/>
      <c r="S134" s="2"/>
      <c r="T134" s="2"/>
      <c r="U134" s="2"/>
      <c r="V134" s="2"/>
      <c r="W134" s="2"/>
      <c r="X134" s="2"/>
      <c r="Y134" s="2"/>
    </row>
    <row r="135" spans="1:25" ht="13.2" x14ac:dyDescent="0.25">
      <c r="A135" s="83"/>
      <c r="B135" s="46">
        <v>62</v>
      </c>
      <c r="C135" s="47">
        <f t="shared" si="15"/>
        <v>2.6399520933317331</v>
      </c>
      <c r="D135" s="48">
        <f t="shared" si="16"/>
        <v>0</v>
      </c>
      <c r="E135" s="48" t="str">
        <f t="shared" si="17"/>
        <v/>
      </c>
      <c r="F135" s="48" t="str">
        <f t="shared" si="19"/>
        <v/>
      </c>
      <c r="G135" s="48" t="str">
        <f t="shared" si="20"/>
        <v/>
      </c>
      <c r="H135" s="48">
        <f t="shared" si="21"/>
        <v>0</v>
      </c>
      <c r="I135" s="48">
        <f t="shared" si="22"/>
        <v>1.8997032406820456E-2</v>
      </c>
      <c r="J135" s="48">
        <f t="shared" si="23"/>
        <v>0.65529662989558202</v>
      </c>
      <c r="K135" s="48">
        <f t="shared" si="24"/>
        <v>6.2934553378960016</v>
      </c>
      <c r="L135" s="48">
        <f t="shared" si="25"/>
        <v>3.3525386416335112</v>
      </c>
      <c r="M135" s="48">
        <f t="shared" si="26"/>
        <v>3.1954528544788117</v>
      </c>
      <c r="N135" s="48">
        <f t="shared" si="27"/>
        <v>3.2477024351261394</v>
      </c>
      <c r="O135" s="48">
        <f t="shared" si="28"/>
        <v>3.3598082202820665</v>
      </c>
      <c r="P135" s="48">
        <f t="shared" si="29"/>
        <v>3.2620214996207149</v>
      </c>
      <c r="Q135" s="45">
        <f t="shared" si="18"/>
        <v>23.385272651339648</v>
      </c>
      <c r="R135" s="2"/>
      <c r="S135" s="2"/>
      <c r="T135" s="2"/>
      <c r="U135" s="2"/>
      <c r="V135" s="2"/>
      <c r="W135" s="2"/>
      <c r="X135" s="2"/>
      <c r="Y135" s="2"/>
    </row>
    <row r="136" spans="1:25" ht="13.2" x14ac:dyDescent="0.25">
      <c r="A136" s="83"/>
      <c r="B136" s="46">
        <v>63</v>
      </c>
      <c r="C136" s="47">
        <f t="shared" si="15"/>
        <v>2.6825319658048254</v>
      </c>
      <c r="D136" s="48">
        <f t="shared" si="16"/>
        <v>0</v>
      </c>
      <c r="E136" s="48" t="str">
        <f t="shared" si="17"/>
        <v/>
      </c>
      <c r="F136" s="48" t="str">
        <f t="shared" si="19"/>
        <v/>
      </c>
      <c r="G136" s="48" t="str">
        <f t="shared" si="20"/>
        <v/>
      </c>
      <c r="H136" s="48" t="str">
        <f t="shared" si="21"/>
        <v/>
      </c>
      <c r="I136" s="48">
        <f t="shared" si="22"/>
        <v>1.440793384492549E-2</v>
      </c>
      <c r="J136" s="48">
        <f t="shared" si="23"/>
        <v>0.57478940228051734</v>
      </c>
      <c r="K136" s="48">
        <f t="shared" si="24"/>
        <v>5.7750317211461928</v>
      </c>
      <c r="L136" s="48">
        <f t="shared" si="25"/>
        <v>3.1448173448458894</v>
      </c>
      <c r="M136" s="48">
        <f t="shared" si="26"/>
        <v>3.0367876945710268</v>
      </c>
      <c r="N136" s="48">
        <f t="shared" si="27"/>
        <v>3.1131640651810639</v>
      </c>
      <c r="O136" s="48">
        <f t="shared" si="28"/>
        <v>3.2404103532092554</v>
      </c>
      <c r="P136" s="48">
        <f t="shared" si="29"/>
        <v>3.3852577714320211</v>
      </c>
      <c r="Q136" s="45">
        <f t="shared" si="18"/>
        <v>22.284666286510891</v>
      </c>
      <c r="R136" s="2"/>
      <c r="S136" s="2"/>
      <c r="T136" s="2"/>
      <c r="U136" s="2"/>
      <c r="V136" s="2"/>
      <c r="W136" s="2"/>
      <c r="X136" s="2"/>
      <c r="Y136" s="2"/>
    </row>
    <row r="137" spans="1:25" ht="13.2" x14ac:dyDescent="0.25">
      <c r="A137" s="83"/>
      <c r="B137" s="46">
        <v>64</v>
      </c>
      <c r="C137" s="47">
        <f t="shared" si="15"/>
        <v>2.7251118382779178</v>
      </c>
      <c r="D137" s="48">
        <f t="shared" si="16"/>
        <v>0</v>
      </c>
      <c r="E137" s="48" t="str">
        <f t="shared" si="17"/>
        <v/>
      </c>
      <c r="F137" s="48" t="str">
        <f t="shared" si="19"/>
        <v/>
      </c>
      <c r="G137" s="48" t="str">
        <f t="shared" si="20"/>
        <v/>
      </c>
      <c r="H137" s="48" t="str">
        <f t="shared" si="21"/>
        <v/>
      </c>
      <c r="I137" s="48">
        <f t="shared" si="22"/>
        <v>9.8188352830305258E-3</v>
      </c>
      <c r="J137" s="48">
        <f t="shared" si="23"/>
        <v>0.49428217466545221</v>
      </c>
      <c r="K137" s="48">
        <f t="shared" si="24"/>
        <v>5.2566081043963804</v>
      </c>
      <c r="L137" s="48">
        <f t="shared" si="25"/>
        <v>2.9370960480582662</v>
      </c>
      <c r="M137" s="48">
        <f t="shared" si="26"/>
        <v>2.8781225346632429</v>
      </c>
      <c r="N137" s="48">
        <f t="shared" si="27"/>
        <v>2.9786256952359889</v>
      </c>
      <c r="O137" s="48">
        <f t="shared" si="28"/>
        <v>3.1210124861364452</v>
      </c>
      <c r="P137" s="48">
        <f t="shared" si="29"/>
        <v>3.2765454639061686</v>
      </c>
      <c r="Q137" s="45">
        <f t="shared" si="18"/>
        <v>20.952111342344971</v>
      </c>
      <c r="R137" s="2"/>
      <c r="S137" s="2"/>
      <c r="T137" s="2"/>
      <c r="U137" s="2"/>
      <c r="V137" s="2"/>
      <c r="W137" s="2"/>
      <c r="X137" s="2"/>
      <c r="Y137" s="2"/>
    </row>
    <row r="138" spans="1:25" ht="13.2" x14ac:dyDescent="0.25">
      <c r="A138" s="83"/>
      <c r="B138" s="46">
        <v>65</v>
      </c>
      <c r="C138" s="47">
        <f t="shared" si="15"/>
        <v>2.7676917107510102</v>
      </c>
      <c r="D138" s="48">
        <f t="shared" si="16"/>
        <v>0</v>
      </c>
      <c r="E138" s="48" t="str">
        <f t="shared" si="17"/>
        <v/>
      </c>
      <c r="F138" s="48" t="str">
        <f t="shared" si="19"/>
        <v/>
      </c>
      <c r="G138" s="48" t="str">
        <f t="shared" si="20"/>
        <v/>
      </c>
      <c r="H138" s="48" t="str">
        <f t="shared" si="21"/>
        <v/>
      </c>
      <c r="I138" s="48">
        <f t="shared" si="22"/>
        <v>5.2297367211355588E-3</v>
      </c>
      <c r="J138" s="48">
        <f t="shared" si="23"/>
        <v>0.41377494705038764</v>
      </c>
      <c r="K138" s="48">
        <f t="shared" si="24"/>
        <v>4.7381844876465715</v>
      </c>
      <c r="L138" s="48">
        <f t="shared" si="25"/>
        <v>2.7293747512706443</v>
      </c>
      <c r="M138" s="48">
        <f t="shared" si="26"/>
        <v>2.7194573747554593</v>
      </c>
      <c r="N138" s="48">
        <f t="shared" si="27"/>
        <v>2.8440873252909138</v>
      </c>
      <c r="O138" s="48">
        <f t="shared" si="28"/>
        <v>3.0016146190636341</v>
      </c>
      <c r="P138" s="48">
        <f t="shared" si="29"/>
        <v>3.167833156380317</v>
      </c>
      <c r="Q138" s="45">
        <f t="shared" si="18"/>
        <v>19.619556398179064</v>
      </c>
      <c r="R138" s="2"/>
      <c r="S138" s="2"/>
      <c r="T138" s="2"/>
      <c r="U138" s="2"/>
      <c r="V138" s="2"/>
      <c r="W138" s="2"/>
      <c r="X138" s="2"/>
      <c r="Y138" s="2"/>
    </row>
    <row r="139" spans="1:25" ht="13.2" x14ac:dyDescent="0.25">
      <c r="A139" s="83"/>
      <c r="B139" s="46">
        <v>66</v>
      </c>
      <c r="C139" s="47">
        <f t="shared" si="15"/>
        <v>2.8102715832241025</v>
      </c>
      <c r="D139" s="48">
        <f t="shared" si="16"/>
        <v>0</v>
      </c>
      <c r="E139" s="48" t="str">
        <f t="shared" si="17"/>
        <v/>
      </c>
      <c r="F139" s="48" t="str">
        <f t="shared" si="19"/>
        <v/>
      </c>
      <c r="G139" s="48" t="str">
        <f t="shared" si="20"/>
        <v/>
      </c>
      <c r="H139" s="48" t="str">
        <f t="shared" si="21"/>
        <v/>
      </c>
      <c r="I139" s="48">
        <f t="shared" si="22"/>
        <v>6.4063815924053408E-4</v>
      </c>
      <c r="J139" s="48">
        <f t="shared" si="23"/>
        <v>0.33326771943532246</v>
      </c>
      <c r="K139" s="48">
        <f t="shared" si="24"/>
        <v>4.2197608708967591</v>
      </c>
      <c r="L139" s="48">
        <f t="shared" si="25"/>
        <v>2.5216534544830211</v>
      </c>
      <c r="M139" s="48">
        <f t="shared" si="26"/>
        <v>2.5607922148476745</v>
      </c>
      <c r="N139" s="48">
        <f t="shared" si="27"/>
        <v>2.7095489553458383</v>
      </c>
      <c r="O139" s="48">
        <f t="shared" si="28"/>
        <v>2.8822167519908235</v>
      </c>
      <c r="P139" s="48">
        <f t="shared" si="29"/>
        <v>3.059120848854465</v>
      </c>
      <c r="Q139" s="45">
        <f t="shared" si="18"/>
        <v>18.287001454013144</v>
      </c>
      <c r="R139" s="2"/>
      <c r="S139" s="2"/>
      <c r="T139" s="2"/>
      <c r="U139" s="2"/>
      <c r="V139" s="2"/>
      <c r="W139" s="2"/>
      <c r="X139" s="2"/>
      <c r="Y139" s="2"/>
    </row>
    <row r="140" spans="1:25" ht="13.2" x14ac:dyDescent="0.25">
      <c r="A140" s="83"/>
      <c r="B140" s="46">
        <v>67</v>
      </c>
      <c r="C140" s="47">
        <f t="shared" si="15"/>
        <v>2.8528514556971953</v>
      </c>
      <c r="D140" s="48">
        <f t="shared" si="16"/>
        <v>0</v>
      </c>
      <c r="E140" s="48" t="str">
        <f t="shared" si="17"/>
        <v/>
      </c>
      <c r="F140" s="48" t="str">
        <f t="shared" si="19"/>
        <v/>
      </c>
      <c r="G140" s="48" t="str">
        <f t="shared" si="20"/>
        <v/>
      </c>
      <c r="H140" s="48" t="str">
        <f t="shared" si="21"/>
        <v/>
      </c>
      <c r="I140" s="48" t="str">
        <f t="shared" si="22"/>
        <v/>
      </c>
      <c r="J140" s="48">
        <f t="shared" si="23"/>
        <v>0.25276049182025784</v>
      </c>
      <c r="K140" s="48">
        <f t="shared" si="24"/>
        <v>3.7013372541469498</v>
      </c>
      <c r="L140" s="48">
        <f t="shared" si="25"/>
        <v>2.3139321576953997</v>
      </c>
      <c r="M140" s="48">
        <f t="shared" si="26"/>
        <v>2.4021270549398905</v>
      </c>
      <c r="N140" s="48">
        <f t="shared" si="27"/>
        <v>2.5750105854007628</v>
      </c>
      <c r="O140" s="48">
        <f t="shared" si="28"/>
        <v>2.7628188849180124</v>
      </c>
      <c r="P140" s="48">
        <f t="shared" si="29"/>
        <v>2.950408541328613</v>
      </c>
      <c r="Q140" s="45">
        <f t="shared" si="18"/>
        <v>16.958394970249884</v>
      </c>
      <c r="R140" s="2"/>
      <c r="S140" s="2"/>
      <c r="T140" s="2"/>
      <c r="U140" s="2"/>
      <c r="V140" s="2"/>
      <c r="W140" s="2"/>
      <c r="X140" s="2"/>
      <c r="Y140" s="2"/>
    </row>
    <row r="141" spans="1:25" ht="13.2" x14ac:dyDescent="0.25">
      <c r="A141" s="83"/>
      <c r="B141" s="46">
        <v>68</v>
      </c>
      <c r="C141" s="47">
        <f t="shared" si="15"/>
        <v>2.8954313281702877</v>
      </c>
      <c r="D141" s="48">
        <f t="shared" si="16"/>
        <v>0</v>
      </c>
      <c r="E141" s="48" t="str">
        <f t="shared" si="17"/>
        <v/>
      </c>
      <c r="F141" s="48" t="str">
        <f t="shared" si="19"/>
        <v/>
      </c>
      <c r="G141" s="48" t="str">
        <f t="shared" si="20"/>
        <v/>
      </c>
      <c r="H141" s="48" t="str">
        <f t="shared" si="21"/>
        <v/>
      </c>
      <c r="I141" s="48" t="str">
        <f t="shared" si="22"/>
        <v/>
      </c>
      <c r="J141" s="48">
        <f t="shared" si="23"/>
        <v>0.17225326420519324</v>
      </c>
      <c r="K141" s="48">
        <f t="shared" si="24"/>
        <v>3.1829136373971374</v>
      </c>
      <c r="L141" s="48">
        <f t="shared" si="25"/>
        <v>2.1062108609077765</v>
      </c>
      <c r="M141" s="48">
        <f t="shared" si="26"/>
        <v>2.2434618950321061</v>
      </c>
      <c r="N141" s="48">
        <f t="shared" si="27"/>
        <v>2.4404722154556877</v>
      </c>
      <c r="O141" s="48">
        <f t="shared" si="28"/>
        <v>2.6434210178452018</v>
      </c>
      <c r="P141" s="48">
        <f t="shared" si="29"/>
        <v>2.8416962338027614</v>
      </c>
      <c r="Q141" s="45">
        <f t="shared" si="18"/>
        <v>15.630429124645865</v>
      </c>
      <c r="R141" s="2"/>
      <c r="S141" s="2"/>
      <c r="T141" s="2"/>
      <c r="U141" s="2"/>
      <c r="V141" s="2"/>
      <c r="W141" s="2"/>
      <c r="X141" s="2"/>
      <c r="Y141" s="2"/>
    </row>
    <row r="142" spans="1:25" ht="13.2" x14ac:dyDescent="0.25">
      <c r="A142" s="83"/>
      <c r="B142" s="46">
        <v>69</v>
      </c>
      <c r="C142" s="47">
        <f t="shared" si="15"/>
        <v>2.9380112006433801</v>
      </c>
      <c r="D142" s="48">
        <f t="shared" si="16"/>
        <v>0</v>
      </c>
      <c r="E142" s="48" t="str">
        <f t="shared" si="17"/>
        <v/>
      </c>
      <c r="F142" s="48" t="str">
        <f t="shared" si="19"/>
        <v/>
      </c>
      <c r="G142" s="48" t="str">
        <f t="shared" si="20"/>
        <v/>
      </c>
      <c r="H142" s="48" t="str">
        <f t="shared" si="21"/>
        <v/>
      </c>
      <c r="I142" s="48" t="str">
        <f t="shared" si="22"/>
        <v/>
      </c>
      <c r="J142" s="48">
        <f t="shared" si="23"/>
        <v>9.174603659012863E-2</v>
      </c>
      <c r="K142" s="48">
        <f t="shared" si="24"/>
        <v>2.6644900206473285</v>
      </c>
      <c r="L142" s="48">
        <f t="shared" si="25"/>
        <v>1.8984895641201547</v>
      </c>
      <c r="M142" s="48">
        <f t="shared" si="26"/>
        <v>2.0847967351243222</v>
      </c>
      <c r="N142" s="48">
        <f t="shared" si="27"/>
        <v>2.3059338455106131</v>
      </c>
      <c r="O142" s="48">
        <f t="shared" si="28"/>
        <v>2.5240231507723911</v>
      </c>
      <c r="P142" s="48">
        <f t="shared" si="29"/>
        <v>2.7329839262769089</v>
      </c>
      <c r="Q142" s="45">
        <f t="shared" si="18"/>
        <v>14.302463279041847</v>
      </c>
      <c r="R142" s="2"/>
      <c r="S142" s="2"/>
      <c r="T142" s="2"/>
      <c r="U142" s="2"/>
      <c r="V142" s="2"/>
      <c r="W142" s="2"/>
      <c r="X142" s="2"/>
      <c r="Y142" s="2"/>
    </row>
    <row r="143" spans="1:25" ht="13.2" x14ac:dyDescent="0.25">
      <c r="A143" s="83"/>
      <c r="B143" s="46">
        <v>70</v>
      </c>
      <c r="C143" s="47">
        <f t="shared" si="15"/>
        <v>2.9805910731164724</v>
      </c>
      <c r="D143" s="48">
        <f t="shared" si="16"/>
        <v>0</v>
      </c>
      <c r="E143" s="48" t="str">
        <f t="shared" si="17"/>
        <v/>
      </c>
      <c r="F143" s="48" t="str">
        <f t="shared" si="19"/>
        <v/>
      </c>
      <c r="G143" s="48" t="str">
        <f t="shared" si="20"/>
        <v/>
      </c>
      <c r="H143" s="48" t="str">
        <f t="shared" si="21"/>
        <v/>
      </c>
      <c r="I143" s="48" t="str">
        <f t="shared" si="22"/>
        <v/>
      </c>
      <c r="J143" s="48">
        <f t="shared" si="23"/>
        <v>1.1238808975062966E-2</v>
      </c>
      <c r="K143" s="48">
        <f t="shared" si="24"/>
        <v>2.1460664038975161</v>
      </c>
      <c r="L143" s="48">
        <f t="shared" si="25"/>
        <v>1.6907682673325315</v>
      </c>
      <c r="M143" s="48">
        <f t="shared" si="26"/>
        <v>1.9261315752165376</v>
      </c>
      <c r="N143" s="48">
        <f t="shared" si="27"/>
        <v>2.1713954755655371</v>
      </c>
      <c r="O143" s="48">
        <f t="shared" si="28"/>
        <v>2.4046252836995805</v>
      </c>
      <c r="P143" s="48">
        <f t="shared" si="29"/>
        <v>2.6242716187510573</v>
      </c>
      <c r="Q143" s="45">
        <f t="shared" si="18"/>
        <v>12.974497433437824</v>
      </c>
      <c r="R143" s="2"/>
      <c r="S143" s="2"/>
      <c r="T143" s="2"/>
      <c r="U143" s="2"/>
      <c r="V143" s="2"/>
      <c r="W143" s="2"/>
      <c r="X143" s="2"/>
      <c r="Y143" s="2"/>
    </row>
    <row r="144" spans="1:25" ht="13.2" x14ac:dyDescent="0.25">
      <c r="A144" s="83"/>
      <c r="B144" s="46">
        <v>71</v>
      </c>
      <c r="C144" s="47">
        <f t="shared" si="15"/>
        <v>3.0231709455895652</v>
      </c>
      <c r="D144" s="48">
        <f t="shared" si="16"/>
        <v>0</v>
      </c>
      <c r="E144" s="48" t="str">
        <f t="shared" si="17"/>
        <v/>
      </c>
      <c r="F144" s="48" t="str">
        <f t="shared" si="19"/>
        <v/>
      </c>
      <c r="G144" s="48" t="str">
        <f t="shared" si="20"/>
        <v/>
      </c>
      <c r="H144" s="48" t="str">
        <f t="shared" si="21"/>
        <v/>
      </c>
      <c r="I144" s="48" t="str">
        <f t="shared" si="22"/>
        <v/>
      </c>
      <c r="J144" s="48" t="str">
        <f t="shared" si="23"/>
        <v/>
      </c>
      <c r="K144" s="48">
        <f t="shared" si="24"/>
        <v>1.6276427871477068</v>
      </c>
      <c r="L144" s="48">
        <f t="shared" si="25"/>
        <v>1.4830469705449096</v>
      </c>
      <c r="M144" s="48">
        <f t="shared" si="26"/>
        <v>1.7674664153087538</v>
      </c>
      <c r="N144" s="48">
        <f t="shared" si="27"/>
        <v>2.0368571056204625</v>
      </c>
      <c r="O144" s="48">
        <f t="shared" si="28"/>
        <v>2.285227416626769</v>
      </c>
      <c r="P144" s="48">
        <f t="shared" si="29"/>
        <v>2.5155593112252048</v>
      </c>
      <c r="Q144" s="45">
        <f t="shared" si="18"/>
        <v>11.715800006473808</v>
      </c>
      <c r="R144" s="2"/>
      <c r="S144" s="2"/>
      <c r="T144" s="2"/>
      <c r="U144" s="2"/>
      <c r="V144" s="2"/>
      <c r="W144" s="2"/>
      <c r="X144" s="2"/>
      <c r="Y144" s="2"/>
    </row>
    <row r="145" spans="1:25" ht="13.2" x14ac:dyDescent="0.25">
      <c r="A145" s="83"/>
      <c r="B145" s="46">
        <v>72</v>
      </c>
      <c r="C145" s="47">
        <f t="shared" si="15"/>
        <v>3.0657508180626576</v>
      </c>
      <c r="D145" s="48">
        <f t="shared" si="16"/>
        <v>0</v>
      </c>
      <c r="E145" s="48" t="str">
        <f t="shared" si="17"/>
        <v/>
      </c>
      <c r="F145" s="48" t="str">
        <f t="shared" si="19"/>
        <v/>
      </c>
      <c r="G145" s="48" t="str">
        <f t="shared" si="20"/>
        <v/>
      </c>
      <c r="H145" s="48" t="str">
        <f t="shared" si="21"/>
        <v/>
      </c>
      <c r="I145" s="48" t="str">
        <f t="shared" si="22"/>
        <v/>
      </c>
      <c r="J145" s="48" t="str">
        <f t="shared" si="23"/>
        <v/>
      </c>
      <c r="K145" s="48">
        <f t="shared" si="24"/>
        <v>1.1092191703978977</v>
      </c>
      <c r="L145" s="48">
        <f t="shared" si="25"/>
        <v>1.2753256737572867</v>
      </c>
      <c r="M145" s="48">
        <f t="shared" si="26"/>
        <v>1.608801255400969</v>
      </c>
      <c r="N145" s="48">
        <f t="shared" si="27"/>
        <v>1.9023187356753866</v>
      </c>
      <c r="O145" s="48">
        <f t="shared" si="28"/>
        <v>2.1658295495539588</v>
      </c>
      <c r="P145" s="48">
        <f t="shared" si="29"/>
        <v>2.4068470036993532</v>
      </c>
      <c r="Q145" s="45">
        <f t="shared" si="18"/>
        <v>10.468341388484852</v>
      </c>
      <c r="R145" s="2"/>
      <c r="S145" s="2"/>
      <c r="T145" s="2"/>
      <c r="U145" s="2"/>
      <c r="V145" s="2"/>
      <c r="W145" s="2"/>
      <c r="X145" s="2"/>
      <c r="Y145" s="2"/>
    </row>
    <row r="146" spans="1:25" ht="13.2" x14ac:dyDescent="0.25">
      <c r="A146" s="83"/>
      <c r="B146" s="46">
        <v>73</v>
      </c>
      <c r="C146" s="47">
        <f t="shared" si="15"/>
        <v>3.10833069053575</v>
      </c>
      <c r="D146" s="48">
        <f t="shared" si="16"/>
        <v>0</v>
      </c>
      <c r="E146" s="48" t="str">
        <f t="shared" si="17"/>
        <v/>
      </c>
      <c r="F146" s="48" t="str">
        <f t="shared" si="19"/>
        <v/>
      </c>
      <c r="G146" s="48" t="str">
        <f t="shared" si="20"/>
        <v/>
      </c>
      <c r="H146" s="48" t="str">
        <f t="shared" si="21"/>
        <v/>
      </c>
      <c r="I146" s="48" t="str">
        <f t="shared" si="22"/>
        <v/>
      </c>
      <c r="J146" s="48" t="str">
        <f t="shared" si="23"/>
        <v/>
      </c>
      <c r="K146" s="48">
        <f t="shared" si="24"/>
        <v>0.59079555364808878</v>
      </c>
      <c r="L146" s="48">
        <f t="shared" si="25"/>
        <v>1.0676043769696648</v>
      </c>
      <c r="M146" s="48">
        <f t="shared" si="26"/>
        <v>1.4501360954931852</v>
      </c>
      <c r="N146" s="48">
        <f t="shared" si="27"/>
        <v>1.7677803657303117</v>
      </c>
      <c r="O146" s="48">
        <f t="shared" si="28"/>
        <v>2.0464316824811482</v>
      </c>
      <c r="P146" s="48">
        <f t="shared" si="29"/>
        <v>2.2981346961735012</v>
      </c>
      <c r="Q146" s="45">
        <f t="shared" si="18"/>
        <v>9.2208827704959013</v>
      </c>
      <c r="R146" s="2"/>
      <c r="S146" s="2"/>
      <c r="T146" s="2"/>
      <c r="U146" s="2"/>
      <c r="V146" s="2"/>
      <c r="W146" s="2"/>
      <c r="X146" s="2"/>
      <c r="Y146" s="2"/>
    </row>
    <row r="147" spans="1:25" ht="13.2" x14ac:dyDescent="0.25">
      <c r="A147" s="83"/>
      <c r="B147" s="46">
        <v>74</v>
      </c>
      <c r="C147" s="47">
        <f t="shared" si="15"/>
        <v>3.1509105630088423</v>
      </c>
      <c r="D147" s="48">
        <f t="shared" si="16"/>
        <v>0</v>
      </c>
      <c r="E147" s="48" t="str">
        <f t="shared" si="17"/>
        <v/>
      </c>
      <c r="F147" s="48" t="str">
        <f t="shared" si="19"/>
        <v/>
      </c>
      <c r="G147" s="48" t="str">
        <f t="shared" si="20"/>
        <v/>
      </c>
      <c r="H147" s="48" t="str">
        <f t="shared" si="21"/>
        <v/>
      </c>
      <c r="I147" s="48" t="str">
        <f t="shared" si="22"/>
        <v/>
      </c>
      <c r="J147" s="48" t="str">
        <f t="shared" si="23"/>
        <v/>
      </c>
      <c r="K147" s="48">
        <f t="shared" si="24"/>
        <v>7.2371936898272995E-2</v>
      </c>
      <c r="L147" s="48">
        <f t="shared" si="25"/>
        <v>0.85988308018204163</v>
      </c>
      <c r="M147" s="48">
        <f t="shared" si="26"/>
        <v>1.2914709355854004</v>
      </c>
      <c r="N147" s="48">
        <f t="shared" si="27"/>
        <v>1.633241995785236</v>
      </c>
      <c r="O147" s="48">
        <f t="shared" si="28"/>
        <v>1.9270338154083371</v>
      </c>
      <c r="P147" s="48">
        <f t="shared" si="29"/>
        <v>2.1894223886476492</v>
      </c>
      <c r="Q147" s="45">
        <f t="shared" si="18"/>
        <v>7.9734241525069383</v>
      </c>
      <c r="R147" s="2"/>
      <c r="S147" s="2"/>
      <c r="T147" s="2"/>
      <c r="U147" s="2"/>
      <c r="V147" s="2"/>
      <c r="W147" s="2"/>
      <c r="X147" s="2"/>
      <c r="Y147" s="2"/>
    </row>
    <row r="148" spans="1:25" ht="13.2" x14ac:dyDescent="0.25">
      <c r="A148" s="83"/>
      <c r="B148" s="46">
        <v>75</v>
      </c>
      <c r="C148" s="47">
        <f t="shared" si="15"/>
        <v>3.1934904354819351</v>
      </c>
      <c r="D148" s="48">
        <f t="shared" si="16"/>
        <v>0</v>
      </c>
      <c r="E148" s="48" t="str">
        <f t="shared" si="17"/>
        <v/>
      </c>
      <c r="F148" s="48" t="str">
        <f t="shared" si="19"/>
        <v/>
      </c>
      <c r="G148" s="48" t="str">
        <f t="shared" si="20"/>
        <v/>
      </c>
      <c r="H148" s="48" t="str">
        <f t="shared" si="21"/>
        <v/>
      </c>
      <c r="I148" s="48" t="str">
        <f t="shared" si="22"/>
        <v/>
      </c>
      <c r="J148" s="48" t="str">
        <f t="shared" si="23"/>
        <v/>
      </c>
      <c r="K148" s="48" t="str">
        <f t="shared" si="24"/>
        <v/>
      </c>
      <c r="L148" s="48">
        <f t="shared" si="25"/>
        <v>0.65216178339441988</v>
      </c>
      <c r="M148" s="48">
        <f t="shared" si="26"/>
        <v>1.1328057756776166</v>
      </c>
      <c r="N148" s="48">
        <f t="shared" si="27"/>
        <v>1.4987036258401611</v>
      </c>
      <c r="O148" s="48">
        <f t="shared" si="28"/>
        <v>1.8076359483355267</v>
      </c>
      <c r="P148" s="48">
        <f t="shared" si="29"/>
        <v>2.0807100811217967</v>
      </c>
      <c r="Q148" s="45">
        <f t="shared" si="18"/>
        <v>7.1720172143695216</v>
      </c>
      <c r="R148" s="2"/>
      <c r="S148" s="2"/>
      <c r="T148" s="2"/>
      <c r="U148" s="2"/>
      <c r="V148" s="2"/>
      <c r="W148" s="2"/>
      <c r="X148" s="2"/>
      <c r="Y148" s="2"/>
    </row>
    <row r="149" spans="1:25" ht="13.2" x14ac:dyDescent="0.25">
      <c r="A149" s="83"/>
      <c r="B149" s="46">
        <v>76</v>
      </c>
      <c r="C149" s="47">
        <f t="shared" si="15"/>
        <v>3.2360703079550275</v>
      </c>
      <c r="D149" s="48">
        <f t="shared" si="16"/>
        <v>0</v>
      </c>
      <c r="E149" s="48" t="str">
        <f t="shared" si="17"/>
        <v/>
      </c>
      <c r="F149" s="48" t="str">
        <f t="shared" si="19"/>
        <v/>
      </c>
      <c r="G149" s="48" t="str">
        <f t="shared" si="20"/>
        <v/>
      </c>
      <c r="H149" s="48" t="str">
        <f t="shared" si="21"/>
        <v/>
      </c>
      <c r="I149" s="48" t="str">
        <f t="shared" si="22"/>
        <v/>
      </c>
      <c r="J149" s="48" t="str">
        <f t="shared" si="23"/>
        <v/>
      </c>
      <c r="K149" s="48" t="str">
        <f t="shared" si="24"/>
        <v/>
      </c>
      <c r="L149" s="48">
        <f t="shared" si="25"/>
        <v>0.44444048660679814</v>
      </c>
      <c r="M149" s="48">
        <f t="shared" si="26"/>
        <v>0.97414061576983202</v>
      </c>
      <c r="N149" s="48">
        <f t="shared" si="27"/>
        <v>1.3641652558950854</v>
      </c>
      <c r="O149" s="48">
        <f t="shared" si="28"/>
        <v>1.6882380812627156</v>
      </c>
      <c r="P149" s="48">
        <f t="shared" si="29"/>
        <v>1.9719977735959453</v>
      </c>
      <c r="Q149" s="45">
        <f t="shared" si="18"/>
        <v>6.4429822131303771</v>
      </c>
      <c r="R149" s="2"/>
      <c r="S149" s="2"/>
      <c r="T149" s="2"/>
      <c r="U149" s="2"/>
      <c r="V149" s="2"/>
      <c r="W149" s="2"/>
      <c r="X149" s="2"/>
      <c r="Y149" s="2"/>
    </row>
    <row r="150" spans="1:25" ht="13.2" x14ac:dyDescent="0.25">
      <c r="A150" s="83"/>
      <c r="B150" s="46">
        <v>77</v>
      </c>
      <c r="C150" s="47">
        <f t="shared" si="15"/>
        <v>3.2786501804281198</v>
      </c>
      <c r="D150" s="48">
        <f t="shared" si="16"/>
        <v>0</v>
      </c>
      <c r="E150" s="48" t="str">
        <f t="shared" si="17"/>
        <v/>
      </c>
      <c r="F150" s="48" t="str">
        <f t="shared" si="19"/>
        <v/>
      </c>
      <c r="G150" s="48" t="str">
        <f t="shared" si="20"/>
        <v/>
      </c>
      <c r="H150" s="48" t="str">
        <f t="shared" si="21"/>
        <v/>
      </c>
      <c r="I150" s="48" t="str">
        <f t="shared" si="22"/>
        <v/>
      </c>
      <c r="J150" s="48" t="str">
        <f t="shared" si="23"/>
        <v/>
      </c>
      <c r="K150" s="48" t="str">
        <f t="shared" si="24"/>
        <v/>
      </c>
      <c r="L150" s="48">
        <f t="shared" si="25"/>
        <v>0.23671918981917633</v>
      </c>
      <c r="M150" s="48">
        <f t="shared" si="26"/>
        <v>0.81547545586204828</v>
      </c>
      <c r="N150" s="48">
        <f t="shared" si="27"/>
        <v>1.2296268859500106</v>
      </c>
      <c r="O150" s="48">
        <f t="shared" si="28"/>
        <v>1.5688402141899052</v>
      </c>
      <c r="P150" s="48">
        <f t="shared" si="29"/>
        <v>1.8632854660700935</v>
      </c>
      <c r="Q150" s="45">
        <f t="shared" si="18"/>
        <v>5.7139472118912336</v>
      </c>
      <c r="R150" s="2"/>
      <c r="S150" s="2"/>
      <c r="T150" s="2"/>
      <c r="U150" s="2"/>
      <c r="V150" s="2"/>
      <c r="W150" s="2"/>
      <c r="X150" s="2"/>
      <c r="Y150" s="2"/>
    </row>
    <row r="151" spans="1:25" ht="13.2" x14ac:dyDescent="0.25">
      <c r="A151" s="83"/>
      <c r="B151" s="46">
        <v>78</v>
      </c>
      <c r="C151" s="47">
        <f t="shared" si="15"/>
        <v>3.3212300529012122</v>
      </c>
      <c r="D151" s="48">
        <f t="shared" si="16"/>
        <v>0</v>
      </c>
      <c r="E151" s="48" t="str">
        <f t="shared" si="17"/>
        <v/>
      </c>
      <c r="F151" s="48" t="str">
        <f t="shared" si="19"/>
        <v/>
      </c>
      <c r="G151" s="48" t="str">
        <f t="shared" si="20"/>
        <v/>
      </c>
      <c r="H151" s="48" t="str">
        <f t="shared" si="21"/>
        <v/>
      </c>
      <c r="I151" s="48" t="str">
        <f t="shared" si="22"/>
        <v/>
      </c>
      <c r="J151" s="48" t="str">
        <f t="shared" si="23"/>
        <v/>
      </c>
      <c r="K151" s="48" t="str">
        <f t="shared" si="24"/>
        <v/>
      </c>
      <c r="L151" s="48">
        <f t="shared" si="25"/>
        <v>2.8997893031551859E-2</v>
      </c>
      <c r="M151" s="48">
        <f t="shared" si="26"/>
        <v>0.65681029595426355</v>
      </c>
      <c r="N151" s="48">
        <f t="shared" si="27"/>
        <v>1.0950885160049348</v>
      </c>
      <c r="O151" s="48">
        <f t="shared" si="28"/>
        <v>1.4494423471170939</v>
      </c>
      <c r="P151" s="48">
        <f t="shared" si="29"/>
        <v>1.7545731585442412</v>
      </c>
      <c r="Q151" s="45">
        <f t="shared" si="18"/>
        <v>4.9849122106520856</v>
      </c>
      <c r="R151" s="2"/>
      <c r="S151" s="2"/>
      <c r="T151" s="2"/>
      <c r="U151" s="2"/>
      <c r="V151" s="2"/>
      <c r="W151" s="2"/>
      <c r="X151" s="2"/>
      <c r="Y151" s="2"/>
    </row>
    <row r="152" spans="1:25" ht="13.2" x14ac:dyDescent="0.25">
      <c r="A152" s="83"/>
      <c r="B152" s="46">
        <v>79</v>
      </c>
      <c r="C152" s="47">
        <f t="shared" si="15"/>
        <v>3.363809925374305</v>
      </c>
      <c r="D152" s="48">
        <f t="shared" si="16"/>
        <v>0</v>
      </c>
      <c r="E152" s="48" t="str">
        <f t="shared" si="17"/>
        <v/>
      </c>
      <c r="F152" s="48" t="str">
        <f t="shared" si="19"/>
        <v/>
      </c>
      <c r="G152" s="48" t="str">
        <f t="shared" si="20"/>
        <v/>
      </c>
      <c r="H152" s="48" t="str">
        <f t="shared" si="21"/>
        <v/>
      </c>
      <c r="I152" s="48" t="str">
        <f t="shared" si="22"/>
        <v/>
      </c>
      <c r="J152" s="48" t="str">
        <f t="shared" si="23"/>
        <v/>
      </c>
      <c r="K152" s="48" t="str">
        <f t="shared" si="24"/>
        <v/>
      </c>
      <c r="L152" s="48" t="str">
        <f t="shared" si="25"/>
        <v/>
      </c>
      <c r="M152" s="48">
        <f t="shared" si="26"/>
        <v>0.49814513604647975</v>
      </c>
      <c r="N152" s="48">
        <f t="shared" si="27"/>
        <v>0.96055014605985989</v>
      </c>
      <c r="O152" s="48">
        <f t="shared" si="28"/>
        <v>1.3300444800442834</v>
      </c>
      <c r="P152" s="48">
        <f t="shared" si="29"/>
        <v>1.6458608510183894</v>
      </c>
      <c r="Q152" s="45">
        <f t="shared" si="18"/>
        <v>4.4346006131690121</v>
      </c>
      <c r="R152" s="2"/>
      <c r="S152" s="2"/>
      <c r="T152" s="2"/>
      <c r="U152" s="2"/>
      <c r="V152" s="2"/>
      <c r="W152" s="2"/>
      <c r="X152" s="2"/>
      <c r="Y152" s="2"/>
    </row>
    <row r="153" spans="1:25" ht="13.2" x14ac:dyDescent="0.25">
      <c r="A153" s="83"/>
      <c r="B153" s="46">
        <v>80</v>
      </c>
      <c r="C153" s="47">
        <f t="shared" si="15"/>
        <v>3.4063897978473974</v>
      </c>
      <c r="D153" s="48">
        <f t="shared" si="16"/>
        <v>0</v>
      </c>
      <c r="E153" s="48" t="str">
        <f t="shared" si="17"/>
        <v/>
      </c>
      <c r="F153" s="48" t="str">
        <f t="shared" si="19"/>
        <v/>
      </c>
      <c r="G153" s="48" t="str">
        <f t="shared" si="20"/>
        <v/>
      </c>
      <c r="H153" s="48" t="str">
        <f t="shared" si="21"/>
        <v/>
      </c>
      <c r="I153" s="48" t="str">
        <f t="shared" si="22"/>
        <v/>
      </c>
      <c r="J153" s="48" t="str">
        <f t="shared" si="23"/>
        <v/>
      </c>
      <c r="K153" s="48" t="str">
        <f t="shared" si="24"/>
        <v/>
      </c>
      <c r="L153" s="48" t="str">
        <f t="shared" si="25"/>
        <v/>
      </c>
      <c r="M153" s="48">
        <f t="shared" si="26"/>
        <v>0.33947997613869602</v>
      </c>
      <c r="N153" s="48">
        <f t="shared" si="27"/>
        <v>0.82601177611478416</v>
      </c>
      <c r="O153" s="48">
        <f t="shared" si="28"/>
        <v>1.2106466129714724</v>
      </c>
      <c r="P153" s="48">
        <f t="shared" si="29"/>
        <v>1.5371485434925372</v>
      </c>
      <c r="Q153" s="45">
        <f t="shared" si="18"/>
        <v>3.91328690871749</v>
      </c>
      <c r="R153" s="2"/>
      <c r="S153" s="2"/>
      <c r="T153" s="2"/>
      <c r="U153" s="2"/>
      <c r="V153" s="2"/>
      <c r="W153" s="2"/>
      <c r="X153" s="2"/>
      <c r="Y153" s="2"/>
    </row>
    <row r="154" spans="1:25" ht="13.2" x14ac:dyDescent="0.25">
      <c r="A154" s="83"/>
      <c r="B154" s="46">
        <v>81</v>
      </c>
      <c r="C154" s="47">
        <f t="shared" si="15"/>
        <v>3.4489696703204897</v>
      </c>
      <c r="D154" s="48">
        <f t="shared" si="16"/>
        <v>0</v>
      </c>
      <c r="E154" s="48" t="str">
        <f t="shared" si="17"/>
        <v/>
      </c>
      <c r="F154" s="48" t="str">
        <f t="shared" si="19"/>
        <v/>
      </c>
      <c r="G154" s="48" t="str">
        <f t="shared" si="20"/>
        <v/>
      </c>
      <c r="H154" s="48" t="str">
        <f t="shared" si="21"/>
        <v/>
      </c>
      <c r="I154" s="48" t="str">
        <f t="shared" si="22"/>
        <v/>
      </c>
      <c r="J154" s="48" t="str">
        <f t="shared" si="23"/>
        <v/>
      </c>
      <c r="K154" s="48" t="str">
        <f t="shared" si="24"/>
        <v/>
      </c>
      <c r="L154" s="48" t="str">
        <f t="shared" si="25"/>
        <v/>
      </c>
      <c r="M154" s="48">
        <f t="shared" si="26"/>
        <v>0.18081481623091228</v>
      </c>
      <c r="N154" s="48">
        <f t="shared" si="27"/>
        <v>0.69147340616970931</v>
      </c>
      <c r="O154" s="48">
        <f t="shared" si="28"/>
        <v>1.0912487458986619</v>
      </c>
      <c r="P154" s="48">
        <f t="shared" si="29"/>
        <v>1.4284362359666853</v>
      </c>
      <c r="Q154" s="45">
        <f t="shared" si="18"/>
        <v>3.3919732042659687</v>
      </c>
      <c r="R154" s="2"/>
      <c r="S154" s="2"/>
      <c r="T154" s="2"/>
      <c r="U154" s="2"/>
      <c r="V154" s="2"/>
      <c r="W154" s="2"/>
      <c r="X154" s="2"/>
      <c r="Y154" s="2"/>
    </row>
    <row r="155" spans="1:25" ht="13.2" x14ac:dyDescent="0.25">
      <c r="A155" s="83"/>
      <c r="B155" s="46">
        <v>82</v>
      </c>
      <c r="C155" s="47">
        <f t="shared" si="15"/>
        <v>3.4915495427935821</v>
      </c>
      <c r="D155" s="48">
        <f t="shared" si="16"/>
        <v>0</v>
      </c>
      <c r="E155" s="48" t="str">
        <f t="shared" si="17"/>
        <v/>
      </c>
      <c r="F155" s="48" t="str">
        <f t="shared" si="19"/>
        <v/>
      </c>
      <c r="G155" s="48" t="str">
        <f t="shared" si="20"/>
        <v/>
      </c>
      <c r="H155" s="48" t="str">
        <f t="shared" si="21"/>
        <v/>
      </c>
      <c r="I155" s="48" t="str">
        <f t="shared" si="22"/>
        <v/>
      </c>
      <c r="J155" s="48" t="str">
        <f t="shared" si="23"/>
        <v/>
      </c>
      <c r="K155" s="48" t="str">
        <f t="shared" si="24"/>
        <v/>
      </c>
      <c r="L155" s="48" t="str">
        <f t="shared" si="25"/>
        <v/>
      </c>
      <c r="M155" s="48">
        <f t="shared" si="26"/>
        <v>2.2149656323126501E-2</v>
      </c>
      <c r="N155" s="48">
        <f t="shared" si="27"/>
        <v>0.55693503622463358</v>
      </c>
      <c r="O155" s="48">
        <f t="shared" si="28"/>
        <v>0.97185087882585075</v>
      </c>
      <c r="P155" s="48">
        <f t="shared" si="29"/>
        <v>1.3197239284408331</v>
      </c>
      <c r="Q155" s="45">
        <f t="shared" si="18"/>
        <v>2.8706594998144439</v>
      </c>
      <c r="R155" s="2"/>
      <c r="S155" s="2"/>
      <c r="T155" s="2"/>
      <c r="U155" s="2"/>
      <c r="V155" s="2"/>
      <c r="W155" s="2"/>
      <c r="X155" s="2"/>
      <c r="Y155" s="2"/>
    </row>
    <row r="156" spans="1:25" ht="13.2" x14ac:dyDescent="0.25">
      <c r="A156" s="83"/>
      <c r="B156" s="46">
        <v>83</v>
      </c>
      <c r="C156" s="47">
        <f t="shared" si="15"/>
        <v>3.5341294152666745</v>
      </c>
      <c r="D156" s="48">
        <f t="shared" si="16"/>
        <v>0</v>
      </c>
      <c r="E156" s="48" t="str">
        <f t="shared" si="17"/>
        <v/>
      </c>
      <c r="F156" s="48" t="str">
        <f t="shared" si="19"/>
        <v/>
      </c>
      <c r="G156" s="48" t="str">
        <f t="shared" si="20"/>
        <v/>
      </c>
      <c r="H156" s="48" t="str">
        <f t="shared" si="21"/>
        <v/>
      </c>
      <c r="I156" s="48" t="str">
        <f t="shared" si="22"/>
        <v/>
      </c>
      <c r="J156" s="48" t="str">
        <f t="shared" si="23"/>
        <v/>
      </c>
      <c r="K156" s="48" t="str">
        <f t="shared" si="24"/>
        <v/>
      </c>
      <c r="L156" s="48" t="str">
        <f t="shared" si="25"/>
        <v/>
      </c>
      <c r="M156" s="48" t="str">
        <f t="shared" si="26"/>
        <v/>
      </c>
      <c r="N156" s="48">
        <f t="shared" si="27"/>
        <v>0.42239666627955869</v>
      </c>
      <c r="O156" s="48">
        <f t="shared" si="28"/>
        <v>0.85245301175304022</v>
      </c>
      <c r="P156" s="48">
        <f t="shared" si="29"/>
        <v>1.2110116209149815</v>
      </c>
      <c r="Q156" s="45">
        <f t="shared" si="18"/>
        <v>2.4858612989475803</v>
      </c>
      <c r="R156" s="2"/>
      <c r="S156" s="2"/>
      <c r="T156" s="2"/>
      <c r="U156" s="2"/>
      <c r="V156" s="2"/>
      <c r="W156" s="2"/>
      <c r="X156" s="2"/>
      <c r="Y156" s="2"/>
    </row>
    <row r="157" spans="1:25" ht="13.2" x14ac:dyDescent="0.25">
      <c r="A157" s="83"/>
      <c r="B157" s="46">
        <v>84</v>
      </c>
      <c r="C157" s="47">
        <f t="shared" si="15"/>
        <v>3.5767092877397673</v>
      </c>
      <c r="D157" s="48">
        <f t="shared" si="16"/>
        <v>0</v>
      </c>
      <c r="E157" s="48" t="str">
        <f t="shared" si="17"/>
        <v/>
      </c>
      <c r="F157" s="48" t="str">
        <f t="shared" si="19"/>
        <v/>
      </c>
      <c r="G157" s="48" t="str">
        <f t="shared" si="20"/>
        <v/>
      </c>
      <c r="H157" s="48" t="str">
        <f t="shared" si="21"/>
        <v/>
      </c>
      <c r="I157" s="48" t="str">
        <f t="shared" si="22"/>
        <v/>
      </c>
      <c r="J157" s="48" t="str">
        <f t="shared" si="23"/>
        <v/>
      </c>
      <c r="K157" s="48" t="str">
        <f t="shared" si="24"/>
        <v/>
      </c>
      <c r="L157" s="48" t="str">
        <f t="shared" si="25"/>
        <v/>
      </c>
      <c r="M157" s="48" t="str">
        <f t="shared" si="26"/>
        <v/>
      </c>
      <c r="N157" s="48">
        <f t="shared" si="27"/>
        <v>0.28785829633448384</v>
      </c>
      <c r="O157" s="48">
        <f t="shared" si="28"/>
        <v>0.73305514468022903</v>
      </c>
      <c r="P157" s="48">
        <f t="shared" si="29"/>
        <v>1.102299313389129</v>
      </c>
      <c r="Q157" s="45">
        <f t="shared" si="18"/>
        <v>2.1232127544038422</v>
      </c>
      <c r="R157" s="2"/>
      <c r="S157" s="2"/>
      <c r="T157" s="2"/>
      <c r="U157" s="2"/>
      <c r="V157" s="2"/>
      <c r="W157" s="2"/>
      <c r="X157" s="2"/>
      <c r="Y157" s="2"/>
    </row>
    <row r="158" spans="1:25" ht="13.2" x14ac:dyDescent="0.25">
      <c r="A158" s="83"/>
      <c r="B158" s="46">
        <v>85</v>
      </c>
      <c r="C158" s="47">
        <f t="shared" si="15"/>
        <v>3.6192891602128596</v>
      </c>
      <c r="D158" s="48">
        <f t="shared" si="16"/>
        <v>0</v>
      </c>
      <c r="E158" s="48" t="str">
        <f t="shared" si="17"/>
        <v/>
      </c>
      <c r="F158" s="48" t="str">
        <f t="shared" si="19"/>
        <v/>
      </c>
      <c r="G158" s="48" t="str">
        <f t="shared" si="20"/>
        <v/>
      </c>
      <c r="H158" s="48" t="str">
        <f t="shared" si="21"/>
        <v/>
      </c>
      <c r="I158" s="48" t="str">
        <f t="shared" si="22"/>
        <v/>
      </c>
      <c r="J158" s="48" t="str">
        <f t="shared" si="23"/>
        <v/>
      </c>
      <c r="K158" s="48" t="str">
        <f t="shared" si="24"/>
        <v/>
      </c>
      <c r="L158" s="48" t="str">
        <f t="shared" si="25"/>
        <v/>
      </c>
      <c r="M158" s="48" t="str">
        <f t="shared" si="26"/>
        <v/>
      </c>
      <c r="N158" s="48">
        <f t="shared" si="27"/>
        <v>0.15331992638940897</v>
      </c>
      <c r="O158" s="48">
        <f t="shared" si="28"/>
        <v>0.61365727760741862</v>
      </c>
      <c r="P158" s="48">
        <f t="shared" si="29"/>
        <v>0.99358700586327742</v>
      </c>
      <c r="Q158" s="45">
        <f t="shared" si="18"/>
        <v>1.7605642098601049</v>
      </c>
      <c r="R158" s="2"/>
      <c r="S158" s="2"/>
      <c r="T158" s="2"/>
      <c r="U158" s="2"/>
      <c r="V158" s="2"/>
      <c r="W158" s="2"/>
      <c r="X158" s="2"/>
      <c r="Y158" s="2"/>
    </row>
    <row r="159" spans="1:25" ht="13.2" x14ac:dyDescent="0.25">
      <c r="A159" s="83"/>
      <c r="B159" s="46">
        <v>86</v>
      </c>
      <c r="C159" s="47">
        <f t="shared" si="15"/>
        <v>3.661869032685952</v>
      </c>
      <c r="D159" s="48">
        <f t="shared" si="16"/>
        <v>0</v>
      </c>
      <c r="E159" s="48" t="str">
        <f t="shared" si="17"/>
        <v/>
      </c>
      <c r="F159" s="48" t="str">
        <f t="shared" si="19"/>
        <v/>
      </c>
      <c r="G159" s="48" t="str">
        <f t="shared" si="20"/>
        <v/>
      </c>
      <c r="H159" s="48" t="str">
        <f t="shared" si="21"/>
        <v/>
      </c>
      <c r="I159" s="48" t="str">
        <f t="shared" si="22"/>
        <v/>
      </c>
      <c r="J159" s="48" t="str">
        <f t="shared" si="23"/>
        <v/>
      </c>
      <c r="K159" s="48" t="str">
        <f t="shared" si="24"/>
        <v/>
      </c>
      <c r="L159" s="48" t="str">
        <f t="shared" si="25"/>
        <v/>
      </c>
      <c r="M159" s="48" t="str">
        <f t="shared" si="26"/>
        <v/>
      </c>
      <c r="N159" s="48">
        <f t="shared" si="27"/>
        <v>1.878155644433236E-2</v>
      </c>
      <c r="O159" s="48">
        <f t="shared" si="28"/>
        <v>0.49425941053460748</v>
      </c>
      <c r="P159" s="48">
        <f t="shared" si="29"/>
        <v>0.88487469833742505</v>
      </c>
      <c r="Q159" s="45">
        <f t="shared" si="18"/>
        <v>1.3979156653163649</v>
      </c>
      <c r="R159" s="2"/>
      <c r="S159" s="2"/>
      <c r="T159" s="2"/>
      <c r="U159" s="2"/>
      <c r="V159" s="2"/>
      <c r="W159" s="2"/>
      <c r="X159" s="2"/>
      <c r="Y159" s="2"/>
    </row>
    <row r="160" spans="1:25" ht="13.2" x14ac:dyDescent="0.25">
      <c r="A160" s="83"/>
      <c r="B160" s="46">
        <v>87</v>
      </c>
      <c r="C160" s="47">
        <f t="shared" si="15"/>
        <v>3.7044489051590443</v>
      </c>
      <c r="D160" s="48">
        <f t="shared" si="16"/>
        <v>0</v>
      </c>
      <c r="E160" s="48" t="str">
        <f t="shared" si="17"/>
        <v/>
      </c>
      <c r="F160" s="48" t="str">
        <f t="shared" si="19"/>
        <v/>
      </c>
      <c r="G160" s="48" t="str">
        <f t="shared" si="20"/>
        <v/>
      </c>
      <c r="H160" s="48" t="str">
        <f t="shared" si="21"/>
        <v/>
      </c>
      <c r="I160" s="48" t="str">
        <f t="shared" si="22"/>
        <v/>
      </c>
      <c r="J160" s="48" t="str">
        <f t="shared" si="23"/>
        <v/>
      </c>
      <c r="K160" s="48" t="str">
        <f t="shared" si="24"/>
        <v/>
      </c>
      <c r="L160" s="48" t="str">
        <f t="shared" si="25"/>
        <v/>
      </c>
      <c r="M160" s="48" t="str">
        <f t="shared" si="26"/>
        <v/>
      </c>
      <c r="N160" s="48" t="str">
        <f t="shared" si="27"/>
        <v/>
      </c>
      <c r="O160" s="48">
        <f t="shared" si="28"/>
        <v>0.37486154346179706</v>
      </c>
      <c r="P160" s="48">
        <f t="shared" si="29"/>
        <v>0.77616239081157334</v>
      </c>
      <c r="Q160" s="45">
        <f t="shared" si="18"/>
        <v>1.1510239342733704</v>
      </c>
      <c r="R160" s="2"/>
      <c r="S160" s="2"/>
      <c r="T160" s="2"/>
      <c r="U160" s="2"/>
      <c r="V160" s="2"/>
      <c r="W160" s="2"/>
      <c r="X160" s="2"/>
      <c r="Y160" s="2"/>
    </row>
    <row r="161" spans="1:25" ht="13.2" x14ac:dyDescent="0.25">
      <c r="A161" s="83"/>
      <c r="B161" s="46">
        <v>88</v>
      </c>
      <c r="C161" s="47">
        <f t="shared" si="15"/>
        <v>3.7470287776321372</v>
      </c>
      <c r="D161" s="48">
        <f t="shared" si="16"/>
        <v>0</v>
      </c>
      <c r="E161" s="48" t="str">
        <f t="shared" si="17"/>
        <v/>
      </c>
      <c r="F161" s="48" t="str">
        <f t="shared" si="19"/>
        <v/>
      </c>
      <c r="G161" s="48" t="str">
        <f t="shared" si="20"/>
        <v/>
      </c>
      <c r="H161" s="48" t="str">
        <f t="shared" si="21"/>
        <v/>
      </c>
      <c r="I161" s="48" t="str">
        <f t="shared" si="22"/>
        <v/>
      </c>
      <c r="J161" s="48" t="str">
        <f t="shared" si="23"/>
        <v/>
      </c>
      <c r="K161" s="48" t="str">
        <f t="shared" si="24"/>
        <v/>
      </c>
      <c r="L161" s="48" t="str">
        <f t="shared" si="25"/>
        <v/>
      </c>
      <c r="M161" s="48" t="str">
        <f t="shared" si="26"/>
        <v/>
      </c>
      <c r="N161" s="48" t="str">
        <f t="shared" si="27"/>
        <v/>
      </c>
      <c r="O161" s="48">
        <f t="shared" si="28"/>
        <v>0.25546367638898665</v>
      </c>
      <c r="P161" s="48">
        <f t="shared" si="29"/>
        <v>0.66745008328572097</v>
      </c>
      <c r="Q161" s="45">
        <f t="shared" si="18"/>
        <v>0.92291375967470768</v>
      </c>
      <c r="R161" s="2"/>
      <c r="S161" s="2"/>
      <c r="T161" s="2"/>
      <c r="U161" s="2"/>
      <c r="V161" s="2"/>
      <c r="W161" s="2"/>
      <c r="X161" s="2"/>
      <c r="Y161" s="2"/>
    </row>
    <row r="162" spans="1:25" ht="13.2" x14ac:dyDescent="0.25">
      <c r="A162" s="83"/>
      <c r="B162" s="46">
        <v>89</v>
      </c>
      <c r="C162" s="47">
        <f t="shared" si="15"/>
        <v>3.7896086501052295</v>
      </c>
      <c r="D162" s="48">
        <f t="shared" si="16"/>
        <v>0</v>
      </c>
      <c r="E162" s="48" t="str">
        <f t="shared" si="17"/>
        <v/>
      </c>
      <c r="F162" s="48" t="str">
        <f t="shared" si="19"/>
        <v/>
      </c>
      <c r="G162" s="48" t="str">
        <f t="shared" si="20"/>
        <v/>
      </c>
      <c r="H162" s="48" t="str">
        <f t="shared" si="21"/>
        <v/>
      </c>
      <c r="I162" s="48" t="str">
        <f t="shared" si="22"/>
        <v/>
      </c>
      <c r="J162" s="48" t="str">
        <f t="shared" si="23"/>
        <v/>
      </c>
      <c r="K162" s="48" t="str">
        <f t="shared" si="24"/>
        <v/>
      </c>
      <c r="L162" s="48" t="str">
        <f t="shared" si="25"/>
        <v/>
      </c>
      <c r="M162" s="48" t="str">
        <f t="shared" si="26"/>
        <v/>
      </c>
      <c r="N162" s="48" t="str">
        <f t="shared" si="27"/>
        <v/>
      </c>
      <c r="O162" s="48">
        <f t="shared" si="28"/>
        <v>0.13606580931617621</v>
      </c>
      <c r="P162" s="48">
        <f t="shared" si="29"/>
        <v>0.55873777575986927</v>
      </c>
      <c r="Q162" s="45">
        <f t="shared" si="18"/>
        <v>0.69480358507604545</v>
      </c>
      <c r="R162" s="2"/>
      <c r="S162" s="2"/>
      <c r="T162" s="2"/>
      <c r="U162" s="2"/>
      <c r="V162" s="2"/>
      <c r="W162" s="2"/>
      <c r="X162" s="2"/>
      <c r="Y162" s="2"/>
    </row>
    <row r="163" spans="1:25" ht="13.2" x14ac:dyDescent="0.25">
      <c r="A163" s="83"/>
      <c r="B163" s="46">
        <v>90</v>
      </c>
      <c r="C163" s="47">
        <f t="shared" si="15"/>
        <v>3.8321885225783219</v>
      </c>
      <c r="D163" s="48">
        <f t="shared" si="16"/>
        <v>0</v>
      </c>
      <c r="E163" s="48" t="str">
        <f t="shared" si="17"/>
        <v/>
      </c>
      <c r="F163" s="48" t="str">
        <f t="shared" si="19"/>
        <v/>
      </c>
      <c r="G163" s="48" t="str">
        <f t="shared" si="20"/>
        <v/>
      </c>
      <c r="H163" s="48" t="str">
        <f t="shared" si="21"/>
        <v/>
      </c>
      <c r="I163" s="48" t="str">
        <f t="shared" si="22"/>
        <v/>
      </c>
      <c r="J163" s="48" t="str">
        <f t="shared" si="23"/>
        <v/>
      </c>
      <c r="K163" s="48" t="str">
        <f t="shared" si="24"/>
        <v/>
      </c>
      <c r="L163" s="48" t="str">
        <f t="shared" si="25"/>
        <v/>
      </c>
      <c r="M163" s="48" t="str">
        <f t="shared" si="26"/>
        <v/>
      </c>
      <c r="N163" s="48" t="str">
        <f t="shared" si="27"/>
        <v/>
      </c>
      <c r="O163" s="48">
        <f t="shared" si="28"/>
        <v>1.6667942243364254E-2</v>
      </c>
      <c r="P163" s="48">
        <f t="shared" si="29"/>
        <v>0.4500254682340169</v>
      </c>
      <c r="Q163" s="45">
        <f t="shared" si="18"/>
        <v>0.46669341047738117</v>
      </c>
      <c r="R163" s="2"/>
      <c r="S163" s="2"/>
      <c r="T163" s="2"/>
      <c r="U163" s="2"/>
      <c r="V163" s="2"/>
      <c r="W163" s="2"/>
      <c r="X163" s="2"/>
      <c r="Y163" s="2"/>
    </row>
    <row r="164" spans="1:25" ht="13.2" x14ac:dyDescent="0.25">
      <c r="A164" s="83"/>
      <c r="B164" s="46">
        <v>91</v>
      </c>
      <c r="C164" s="47">
        <f t="shared" si="15"/>
        <v>3.8747683950514142</v>
      </c>
      <c r="D164" s="48">
        <f t="shared" si="16"/>
        <v>0</v>
      </c>
      <c r="E164" s="48" t="str">
        <f t="shared" si="17"/>
        <v/>
      </c>
      <c r="F164" s="48" t="str">
        <f t="shared" si="19"/>
        <v/>
      </c>
      <c r="G164" s="48" t="str">
        <f t="shared" si="20"/>
        <v/>
      </c>
      <c r="H164" s="48" t="str">
        <f t="shared" si="21"/>
        <v/>
      </c>
      <c r="I164" s="48" t="str">
        <f t="shared" si="22"/>
        <v/>
      </c>
      <c r="J164" s="48" t="str">
        <f t="shared" si="23"/>
        <v/>
      </c>
      <c r="K164" s="48" t="str">
        <f t="shared" si="24"/>
        <v/>
      </c>
      <c r="L164" s="48" t="str">
        <f t="shared" si="25"/>
        <v/>
      </c>
      <c r="M164" s="48" t="str">
        <f t="shared" si="26"/>
        <v/>
      </c>
      <c r="N164" s="48" t="str">
        <f t="shared" si="27"/>
        <v/>
      </c>
      <c r="O164" s="48" t="str">
        <f t="shared" si="28"/>
        <v/>
      </c>
      <c r="P164" s="48">
        <f t="shared" si="29"/>
        <v>0.34131316070816525</v>
      </c>
      <c r="Q164" s="45">
        <f t="shared" si="18"/>
        <v>0.34131316070816525</v>
      </c>
      <c r="R164" s="2"/>
      <c r="S164" s="2"/>
      <c r="T164" s="2"/>
      <c r="U164" s="2"/>
      <c r="V164" s="2"/>
      <c r="W164" s="2"/>
      <c r="X164" s="2"/>
      <c r="Y164" s="2"/>
    </row>
    <row r="165" spans="1:25" ht="13.2" x14ac:dyDescent="0.25">
      <c r="A165" s="83"/>
      <c r="B165" s="46">
        <v>92</v>
      </c>
      <c r="C165" s="47">
        <f t="shared" si="15"/>
        <v>3.917348267524507</v>
      </c>
      <c r="D165" s="48">
        <f t="shared" si="16"/>
        <v>0</v>
      </c>
      <c r="E165" s="48" t="str">
        <f t="shared" si="17"/>
        <v/>
      </c>
      <c r="F165" s="48" t="str">
        <f t="shared" si="19"/>
        <v/>
      </c>
      <c r="G165" s="48" t="str">
        <f t="shared" si="20"/>
        <v/>
      </c>
      <c r="H165" s="48" t="str">
        <f t="shared" si="21"/>
        <v/>
      </c>
      <c r="I165" s="48" t="str">
        <f t="shared" si="22"/>
        <v/>
      </c>
      <c r="J165" s="48" t="str">
        <f t="shared" si="23"/>
        <v/>
      </c>
      <c r="K165" s="48" t="str">
        <f t="shared" si="24"/>
        <v/>
      </c>
      <c r="L165" s="48" t="str">
        <f t="shared" si="25"/>
        <v/>
      </c>
      <c r="M165" s="48" t="str">
        <f t="shared" si="26"/>
        <v/>
      </c>
      <c r="N165" s="48" t="str">
        <f t="shared" si="27"/>
        <v/>
      </c>
      <c r="O165" s="48" t="str">
        <f t="shared" si="28"/>
        <v/>
      </c>
      <c r="P165" s="48">
        <f t="shared" si="29"/>
        <v>0.23260085318231358</v>
      </c>
      <c r="Q165" s="45">
        <f t="shared" si="18"/>
        <v>0.23260085318231358</v>
      </c>
      <c r="R165" s="2"/>
      <c r="S165" s="2"/>
      <c r="T165" s="2"/>
      <c r="U165" s="2"/>
      <c r="V165" s="2"/>
      <c r="W165" s="2"/>
      <c r="X165" s="2"/>
      <c r="Y165" s="2"/>
    </row>
    <row r="166" spans="1:25" ht="13.2" x14ac:dyDescent="0.25">
      <c r="A166" s="83"/>
      <c r="B166" s="46">
        <v>93</v>
      </c>
      <c r="C166" s="47">
        <f t="shared" si="15"/>
        <v>3.9599281399975994</v>
      </c>
      <c r="D166" s="48">
        <f t="shared" si="16"/>
        <v>0</v>
      </c>
      <c r="E166" s="48" t="str">
        <f t="shared" si="17"/>
        <v/>
      </c>
      <c r="F166" s="48" t="str">
        <f t="shared" si="19"/>
        <v/>
      </c>
      <c r="G166" s="48" t="str">
        <f t="shared" si="20"/>
        <v/>
      </c>
      <c r="H166" s="48" t="str">
        <f t="shared" si="21"/>
        <v/>
      </c>
      <c r="I166" s="48" t="str">
        <f t="shared" si="22"/>
        <v/>
      </c>
      <c r="J166" s="48" t="str">
        <f t="shared" si="23"/>
        <v/>
      </c>
      <c r="K166" s="48" t="str">
        <f t="shared" si="24"/>
        <v/>
      </c>
      <c r="L166" s="48" t="str">
        <f t="shared" si="25"/>
        <v/>
      </c>
      <c r="M166" s="48" t="str">
        <f t="shared" si="26"/>
        <v/>
      </c>
      <c r="N166" s="48" t="str">
        <f t="shared" si="27"/>
        <v/>
      </c>
      <c r="O166" s="48" t="str">
        <f t="shared" si="28"/>
        <v/>
      </c>
      <c r="P166" s="48">
        <f t="shared" si="29"/>
        <v>0.12388854565646189</v>
      </c>
      <c r="Q166" s="45">
        <f t="shared" si="18"/>
        <v>0.12388854565646189</v>
      </c>
      <c r="R166" s="2"/>
      <c r="S166" s="2"/>
      <c r="T166" s="2"/>
      <c r="U166" s="2"/>
      <c r="V166" s="2"/>
      <c r="W166" s="2"/>
      <c r="X166" s="2"/>
      <c r="Y166" s="2"/>
    </row>
    <row r="167" spans="1:25" ht="13.2" x14ac:dyDescent="0.25">
      <c r="A167" s="83"/>
      <c r="B167" s="46">
        <v>94</v>
      </c>
      <c r="C167" s="47">
        <f t="shared" si="15"/>
        <v>4.0025080124706918</v>
      </c>
      <c r="D167" s="48">
        <f t="shared" si="16"/>
        <v>0</v>
      </c>
      <c r="E167" s="48" t="str">
        <f t="shared" si="17"/>
        <v/>
      </c>
      <c r="F167" s="48" t="str">
        <f t="shared" si="19"/>
        <v/>
      </c>
      <c r="G167" s="48" t="str">
        <f t="shared" si="20"/>
        <v/>
      </c>
      <c r="H167" s="48" t="str">
        <f t="shared" si="21"/>
        <v/>
      </c>
      <c r="I167" s="48" t="str">
        <f t="shared" si="22"/>
        <v/>
      </c>
      <c r="J167" s="48" t="str">
        <f t="shared" si="23"/>
        <v/>
      </c>
      <c r="K167" s="48" t="str">
        <f t="shared" si="24"/>
        <v/>
      </c>
      <c r="L167" s="48" t="str">
        <f t="shared" si="25"/>
        <v/>
      </c>
      <c r="M167" s="48" t="str">
        <f t="shared" si="26"/>
        <v/>
      </c>
      <c r="N167" s="48" t="str">
        <f t="shared" si="27"/>
        <v/>
      </c>
      <c r="O167" s="48" t="str">
        <f t="shared" si="28"/>
        <v/>
      </c>
      <c r="P167" s="48">
        <f t="shared" si="29"/>
        <v>1.5176238130608819E-2</v>
      </c>
      <c r="Q167" s="45">
        <f t="shared" si="18"/>
        <v>1.5176238130608819E-2</v>
      </c>
      <c r="R167" s="2"/>
      <c r="S167" s="2"/>
      <c r="T167" s="2"/>
      <c r="U167" s="2"/>
      <c r="V167" s="2"/>
      <c r="W167" s="2"/>
      <c r="X167" s="2"/>
      <c r="Y167" s="2"/>
    </row>
    <row r="168" spans="1:25" ht="13.2" x14ac:dyDescent="0.25">
      <c r="A168" s="83"/>
      <c r="B168" s="46">
        <v>95</v>
      </c>
      <c r="C168" s="47">
        <f t="shared" si="15"/>
        <v>4.0450878849437846</v>
      </c>
      <c r="D168" s="48">
        <f t="shared" si="16"/>
        <v>0</v>
      </c>
      <c r="E168" s="48" t="str">
        <f t="shared" si="17"/>
        <v/>
      </c>
      <c r="F168" s="48" t="str">
        <f t="shared" si="19"/>
        <v/>
      </c>
      <c r="G168" s="48" t="str">
        <f t="shared" si="20"/>
        <v/>
      </c>
      <c r="H168" s="48" t="str">
        <f t="shared" si="21"/>
        <v/>
      </c>
      <c r="I168" s="48" t="str">
        <f t="shared" si="22"/>
        <v/>
      </c>
      <c r="J168" s="48" t="str">
        <f t="shared" si="23"/>
        <v/>
      </c>
      <c r="K168" s="48" t="str">
        <f t="shared" si="24"/>
        <v/>
      </c>
      <c r="L168" s="48" t="str">
        <f t="shared" si="25"/>
        <v/>
      </c>
      <c r="M168" s="48" t="str">
        <f t="shared" si="26"/>
        <v/>
      </c>
      <c r="N168" s="48" t="str">
        <f t="shared" si="27"/>
        <v/>
      </c>
      <c r="O168" s="48" t="str">
        <f t="shared" si="28"/>
        <v/>
      </c>
      <c r="P168" s="48" t="str">
        <f t="shared" si="29"/>
        <v/>
      </c>
      <c r="Q168" s="45">
        <f t="shared" si="18"/>
        <v>0</v>
      </c>
      <c r="R168" s="2"/>
      <c r="S168" s="2"/>
      <c r="T168" s="2"/>
      <c r="U168" s="2"/>
      <c r="V168" s="2"/>
      <c r="W168" s="2"/>
      <c r="X168" s="2"/>
      <c r="Y168" s="2"/>
    </row>
    <row r="169" spans="1:25" ht="13.2" x14ac:dyDescent="0.25">
      <c r="A169" s="83"/>
      <c r="B169" s="46">
        <v>96</v>
      </c>
      <c r="C169" s="47">
        <f t="shared" si="15"/>
        <v>4.0876677574168765</v>
      </c>
      <c r="D169" s="48">
        <f t="shared" si="16"/>
        <v>0</v>
      </c>
      <c r="E169" s="48" t="str">
        <f t="shared" si="17"/>
        <v/>
      </c>
      <c r="F169" s="48" t="str">
        <f t="shared" si="19"/>
        <v/>
      </c>
      <c r="G169" s="48" t="str">
        <f t="shared" si="20"/>
        <v/>
      </c>
      <c r="H169" s="48" t="str">
        <f t="shared" si="21"/>
        <v/>
      </c>
      <c r="I169" s="48" t="str">
        <f t="shared" si="22"/>
        <v/>
      </c>
      <c r="J169" s="48" t="str">
        <f t="shared" si="23"/>
        <v/>
      </c>
      <c r="K169" s="48" t="str">
        <f t="shared" si="24"/>
        <v/>
      </c>
      <c r="L169" s="48" t="str">
        <f t="shared" si="25"/>
        <v/>
      </c>
      <c r="M169" s="48" t="str">
        <f t="shared" si="26"/>
        <v/>
      </c>
      <c r="N169" s="48" t="str">
        <f t="shared" si="27"/>
        <v/>
      </c>
      <c r="O169" s="48" t="str">
        <f t="shared" si="28"/>
        <v/>
      </c>
      <c r="P169" s="48" t="str">
        <f t="shared" si="29"/>
        <v/>
      </c>
      <c r="Q169" s="45">
        <f t="shared" si="18"/>
        <v>0</v>
      </c>
      <c r="R169" s="2"/>
      <c r="S169" s="2"/>
      <c r="T169" s="2"/>
      <c r="U169" s="2"/>
      <c r="V169" s="2"/>
      <c r="W169" s="2"/>
      <c r="X169" s="2"/>
      <c r="Y169" s="2"/>
    </row>
    <row r="170" spans="1:25" ht="13.2" x14ac:dyDescent="0.25">
      <c r="A170" s="83"/>
      <c r="B170" s="46">
        <v>97</v>
      </c>
      <c r="C170" s="47">
        <f t="shared" si="15"/>
        <v>4.1302476298899693</v>
      </c>
      <c r="D170" s="48">
        <f t="shared" si="16"/>
        <v>0</v>
      </c>
      <c r="E170" s="48" t="str">
        <f t="shared" si="17"/>
        <v/>
      </c>
      <c r="F170" s="48" t="str">
        <f t="shared" si="19"/>
        <v/>
      </c>
      <c r="G170" s="48" t="str">
        <f t="shared" si="20"/>
        <v/>
      </c>
      <c r="H170" s="48" t="str">
        <f t="shared" si="21"/>
        <v/>
      </c>
      <c r="I170" s="48" t="str">
        <f t="shared" si="22"/>
        <v/>
      </c>
      <c r="J170" s="48" t="str">
        <f t="shared" si="23"/>
        <v/>
      </c>
      <c r="K170" s="48" t="str">
        <f t="shared" si="24"/>
        <v/>
      </c>
      <c r="L170" s="48" t="str">
        <f t="shared" si="25"/>
        <v/>
      </c>
      <c r="M170" s="48" t="str">
        <f t="shared" si="26"/>
        <v/>
      </c>
      <c r="N170" s="48" t="str">
        <f t="shared" si="27"/>
        <v/>
      </c>
      <c r="O170" s="48" t="str">
        <f t="shared" si="28"/>
        <v/>
      </c>
      <c r="P170" s="48" t="str">
        <f t="shared" si="29"/>
        <v/>
      </c>
      <c r="Q170" s="45">
        <f t="shared" si="18"/>
        <v>0</v>
      </c>
      <c r="R170" s="2"/>
      <c r="S170" s="2"/>
      <c r="T170" s="2"/>
      <c r="U170" s="2"/>
      <c r="V170" s="2"/>
      <c r="W170" s="2"/>
      <c r="X170" s="2"/>
      <c r="Y170" s="2"/>
    </row>
    <row r="171" spans="1:25" ht="13.2" x14ac:dyDescent="0.25">
      <c r="A171" s="83"/>
      <c r="B171" s="46">
        <v>98</v>
      </c>
      <c r="C171" s="47">
        <f t="shared" si="15"/>
        <v>4.1728275023630612</v>
      </c>
      <c r="D171" s="48">
        <f t="shared" si="16"/>
        <v>0</v>
      </c>
      <c r="E171" s="48" t="str">
        <f t="shared" si="17"/>
        <v/>
      </c>
      <c r="F171" s="48" t="str">
        <f t="shared" si="19"/>
        <v/>
      </c>
      <c r="G171" s="48" t="str">
        <f t="shared" si="20"/>
        <v/>
      </c>
      <c r="H171" s="48" t="str">
        <f t="shared" si="21"/>
        <v/>
      </c>
      <c r="I171" s="48" t="str">
        <f t="shared" si="22"/>
        <v/>
      </c>
      <c r="J171" s="48" t="str">
        <f t="shared" si="23"/>
        <v/>
      </c>
      <c r="K171" s="48" t="str">
        <f t="shared" si="24"/>
        <v/>
      </c>
      <c r="L171" s="48" t="str">
        <f t="shared" si="25"/>
        <v/>
      </c>
      <c r="M171" s="48" t="str">
        <f t="shared" si="26"/>
        <v/>
      </c>
      <c r="N171" s="48" t="str">
        <f t="shared" si="27"/>
        <v/>
      </c>
      <c r="O171" s="48" t="str">
        <f t="shared" si="28"/>
        <v/>
      </c>
      <c r="P171" s="48" t="str">
        <f t="shared" si="29"/>
        <v/>
      </c>
      <c r="Q171" s="45">
        <f t="shared" si="18"/>
        <v>0</v>
      </c>
      <c r="R171" s="2"/>
      <c r="S171" s="2"/>
      <c r="T171" s="2"/>
      <c r="U171" s="2"/>
      <c r="V171" s="2"/>
      <c r="W171" s="2"/>
      <c r="X171" s="2"/>
      <c r="Y171" s="2"/>
    </row>
    <row r="172" spans="1:25" ht="13.2" x14ac:dyDescent="0.25">
      <c r="A172" s="79"/>
      <c r="B172" s="46">
        <v>99</v>
      </c>
      <c r="C172" s="47">
        <f t="shared" si="15"/>
        <v>4.215407374836154</v>
      </c>
      <c r="D172" s="48">
        <f t="shared" si="16"/>
        <v>0</v>
      </c>
      <c r="E172" s="48" t="str">
        <f t="shared" si="17"/>
        <v/>
      </c>
      <c r="F172" s="48" t="str">
        <f t="shared" si="19"/>
        <v/>
      </c>
      <c r="G172" s="48" t="str">
        <f t="shared" si="20"/>
        <v/>
      </c>
      <c r="H172" s="48" t="str">
        <f t="shared" si="21"/>
        <v/>
      </c>
      <c r="I172" s="48" t="str">
        <f t="shared" si="22"/>
        <v/>
      </c>
      <c r="J172" s="48" t="str">
        <f t="shared" si="23"/>
        <v/>
      </c>
      <c r="K172" s="48" t="str">
        <f t="shared" si="24"/>
        <v/>
      </c>
      <c r="L172" s="48" t="str">
        <f t="shared" si="25"/>
        <v/>
      </c>
      <c r="M172" s="48" t="str">
        <f t="shared" si="26"/>
        <v/>
      </c>
      <c r="N172" s="48" t="str">
        <f t="shared" si="27"/>
        <v/>
      </c>
      <c r="O172" s="48" t="str">
        <f t="shared" si="28"/>
        <v/>
      </c>
      <c r="P172" s="48" t="str">
        <f t="shared" si="29"/>
        <v/>
      </c>
      <c r="Q172" s="45">
        <f t="shared" si="18"/>
        <v>0</v>
      </c>
      <c r="R172" s="2"/>
      <c r="S172" s="2"/>
      <c r="T172" s="2"/>
      <c r="U172" s="2"/>
      <c r="V172" s="2"/>
      <c r="W172" s="2"/>
      <c r="X172" s="2"/>
      <c r="Y172" s="2"/>
    </row>
    <row r="173" spans="1:25" ht="13.2" x14ac:dyDescent="0.25">
      <c r="B173" s="50"/>
    </row>
    <row r="174" spans="1:25" ht="13.2" x14ac:dyDescent="0.25">
      <c r="B174" s="50"/>
    </row>
    <row r="175" spans="1:25" ht="13.2" x14ac:dyDescent="0.25">
      <c r="B175" s="50"/>
    </row>
    <row r="176" spans="1:25" ht="13.2" x14ac:dyDescent="0.25">
      <c r="B176" s="50"/>
    </row>
    <row r="177" spans="2:2" ht="13.2" x14ac:dyDescent="0.25">
      <c r="B177" s="50"/>
    </row>
    <row r="178" spans="2:2" ht="13.2" x14ac:dyDescent="0.25">
      <c r="B178" s="50"/>
    </row>
    <row r="179" spans="2:2" ht="13.2" x14ac:dyDescent="0.25">
      <c r="B179" s="50"/>
    </row>
    <row r="180" spans="2:2" ht="13.2" x14ac:dyDescent="0.25">
      <c r="B180" s="50"/>
    </row>
    <row r="181" spans="2:2" ht="13.2" x14ac:dyDescent="0.25">
      <c r="B181" s="50"/>
    </row>
    <row r="182" spans="2:2" ht="13.2" x14ac:dyDescent="0.25">
      <c r="B182" s="50"/>
    </row>
    <row r="183" spans="2:2" ht="13.2" x14ac:dyDescent="0.25">
      <c r="B183" s="50"/>
    </row>
    <row r="184" spans="2:2" ht="13.2" x14ac:dyDescent="0.25">
      <c r="B184" s="50"/>
    </row>
    <row r="185" spans="2:2" ht="13.2" x14ac:dyDescent="0.25">
      <c r="B185" s="50"/>
    </row>
    <row r="186" spans="2:2" ht="13.2" x14ac:dyDescent="0.25">
      <c r="B186" s="50"/>
    </row>
    <row r="187" spans="2:2" ht="13.2" x14ac:dyDescent="0.25">
      <c r="B187" s="50"/>
    </row>
    <row r="188" spans="2:2" ht="13.2" x14ac:dyDescent="0.25">
      <c r="B188" s="50"/>
    </row>
    <row r="189" spans="2:2" ht="13.2" x14ac:dyDescent="0.25">
      <c r="B189" s="50"/>
    </row>
    <row r="190" spans="2:2" ht="13.2" x14ac:dyDescent="0.25">
      <c r="B190" s="50"/>
    </row>
    <row r="191" spans="2:2" ht="13.2" x14ac:dyDescent="0.25">
      <c r="B191" s="50"/>
    </row>
    <row r="192" spans="2:2" ht="13.2" x14ac:dyDescent="0.25">
      <c r="B192" s="50"/>
    </row>
    <row r="193" spans="2:2" ht="13.2" x14ac:dyDescent="0.25">
      <c r="B193" s="50"/>
    </row>
    <row r="194" spans="2:2" ht="13.2" x14ac:dyDescent="0.25">
      <c r="B194" s="50"/>
    </row>
    <row r="195" spans="2:2" ht="13.2" x14ac:dyDescent="0.25">
      <c r="B195" s="50"/>
    </row>
    <row r="196" spans="2:2" ht="13.2" x14ac:dyDescent="0.25">
      <c r="B196" s="50"/>
    </row>
    <row r="197" spans="2:2" ht="13.2" x14ac:dyDescent="0.25">
      <c r="B197" s="50"/>
    </row>
    <row r="198" spans="2:2" ht="13.2" x14ac:dyDescent="0.25">
      <c r="B198" s="50"/>
    </row>
    <row r="199" spans="2:2" ht="13.2" x14ac:dyDescent="0.25">
      <c r="B199" s="50"/>
    </row>
    <row r="200" spans="2:2" ht="13.2" x14ac:dyDescent="0.25">
      <c r="B200" s="50"/>
    </row>
    <row r="201" spans="2:2" ht="13.2" x14ac:dyDescent="0.25">
      <c r="B201" s="50"/>
    </row>
    <row r="202" spans="2:2" ht="13.2" x14ac:dyDescent="0.25">
      <c r="B202" s="50"/>
    </row>
    <row r="203" spans="2:2" ht="13.2" x14ac:dyDescent="0.25">
      <c r="B203" s="50"/>
    </row>
    <row r="204" spans="2:2" ht="13.2" x14ac:dyDescent="0.25">
      <c r="B204" s="50"/>
    </row>
    <row r="205" spans="2:2" ht="13.2" x14ac:dyDescent="0.25">
      <c r="B205" s="50"/>
    </row>
    <row r="206" spans="2:2" ht="13.2" x14ac:dyDescent="0.25">
      <c r="B206" s="50"/>
    </row>
    <row r="207" spans="2:2" ht="13.2" x14ac:dyDescent="0.25">
      <c r="B207" s="50"/>
    </row>
    <row r="208" spans="2:2" ht="13.2" x14ac:dyDescent="0.25">
      <c r="B208" s="50"/>
    </row>
    <row r="209" spans="2:2" ht="13.2" x14ac:dyDescent="0.25">
      <c r="B209" s="50"/>
    </row>
    <row r="210" spans="2:2" ht="13.2" x14ac:dyDescent="0.25">
      <c r="B210" s="50"/>
    </row>
    <row r="211" spans="2:2" ht="13.2" x14ac:dyDescent="0.25">
      <c r="B211" s="50"/>
    </row>
    <row r="212" spans="2:2" ht="13.2" x14ac:dyDescent="0.25">
      <c r="B212" s="50"/>
    </row>
    <row r="213" spans="2:2" ht="13.2" x14ac:dyDescent="0.25">
      <c r="B213" s="50"/>
    </row>
    <row r="214" spans="2:2" ht="13.2" x14ac:dyDescent="0.25">
      <c r="B214" s="50"/>
    </row>
    <row r="215" spans="2:2" ht="13.2" x14ac:dyDescent="0.25">
      <c r="B215" s="50"/>
    </row>
    <row r="216" spans="2:2" ht="13.2" x14ac:dyDescent="0.25">
      <c r="B216" s="50"/>
    </row>
    <row r="217" spans="2:2" ht="13.2" x14ac:dyDescent="0.25">
      <c r="B217" s="50"/>
    </row>
    <row r="218" spans="2:2" ht="13.2" x14ac:dyDescent="0.25">
      <c r="B218" s="50"/>
    </row>
    <row r="219" spans="2:2" ht="13.2" x14ac:dyDescent="0.25">
      <c r="B219" s="50"/>
    </row>
    <row r="220" spans="2:2" ht="13.2" x14ac:dyDescent="0.25">
      <c r="B220" s="50"/>
    </row>
    <row r="221" spans="2:2" ht="13.2" x14ac:dyDescent="0.25">
      <c r="B221" s="50"/>
    </row>
    <row r="222" spans="2:2" ht="13.2" x14ac:dyDescent="0.25">
      <c r="B222" s="50"/>
    </row>
    <row r="223" spans="2:2" ht="13.2" x14ac:dyDescent="0.25">
      <c r="B223" s="50"/>
    </row>
    <row r="224" spans="2:2" ht="13.2" x14ac:dyDescent="0.25">
      <c r="B224" s="50"/>
    </row>
    <row r="225" spans="2:2" ht="13.2" x14ac:dyDescent="0.25">
      <c r="B225" s="50"/>
    </row>
    <row r="226" spans="2:2" ht="13.2" x14ac:dyDescent="0.25">
      <c r="B226" s="50"/>
    </row>
    <row r="227" spans="2:2" ht="13.2" x14ac:dyDescent="0.25">
      <c r="B227" s="50"/>
    </row>
    <row r="228" spans="2:2" ht="13.2" x14ac:dyDescent="0.25">
      <c r="B228" s="50"/>
    </row>
    <row r="229" spans="2:2" ht="13.2" x14ac:dyDescent="0.25">
      <c r="B229" s="50"/>
    </row>
    <row r="230" spans="2:2" ht="13.2" x14ac:dyDescent="0.25">
      <c r="B230" s="50"/>
    </row>
    <row r="231" spans="2:2" ht="13.2" x14ac:dyDescent="0.25">
      <c r="B231" s="50"/>
    </row>
    <row r="232" spans="2:2" ht="13.2" x14ac:dyDescent="0.25">
      <c r="B232" s="50"/>
    </row>
    <row r="233" spans="2:2" ht="13.2" x14ac:dyDescent="0.25">
      <c r="B233" s="50"/>
    </row>
    <row r="234" spans="2:2" ht="13.2" x14ac:dyDescent="0.25">
      <c r="B234" s="50"/>
    </row>
    <row r="235" spans="2:2" ht="13.2" x14ac:dyDescent="0.25">
      <c r="B235" s="50"/>
    </row>
    <row r="236" spans="2:2" ht="13.2" x14ac:dyDescent="0.25">
      <c r="B236" s="50"/>
    </row>
    <row r="237" spans="2:2" ht="13.2" x14ac:dyDescent="0.25">
      <c r="B237" s="50"/>
    </row>
    <row r="238" spans="2:2" ht="13.2" x14ac:dyDescent="0.25">
      <c r="B238" s="50"/>
    </row>
    <row r="239" spans="2:2" ht="13.2" x14ac:dyDescent="0.25">
      <c r="B239" s="50"/>
    </row>
    <row r="240" spans="2:2" ht="13.2" x14ac:dyDescent="0.25">
      <c r="B240" s="50"/>
    </row>
    <row r="241" spans="2:2" ht="13.2" x14ac:dyDescent="0.25">
      <c r="B241" s="50"/>
    </row>
    <row r="242" spans="2:2" ht="13.2" x14ac:dyDescent="0.25">
      <c r="B242" s="50"/>
    </row>
    <row r="243" spans="2:2" ht="13.2" x14ac:dyDescent="0.25">
      <c r="B243" s="50"/>
    </row>
    <row r="244" spans="2:2" ht="13.2" x14ac:dyDescent="0.25">
      <c r="B244" s="50"/>
    </row>
    <row r="245" spans="2:2" ht="13.2" x14ac:dyDescent="0.25">
      <c r="B245" s="50"/>
    </row>
    <row r="246" spans="2:2" ht="13.2" x14ac:dyDescent="0.25">
      <c r="B246" s="50"/>
    </row>
    <row r="247" spans="2:2" ht="13.2" x14ac:dyDescent="0.25">
      <c r="B247" s="50"/>
    </row>
    <row r="248" spans="2:2" ht="13.2" x14ac:dyDescent="0.25">
      <c r="B248" s="50"/>
    </row>
    <row r="249" spans="2:2" ht="13.2" x14ac:dyDescent="0.25">
      <c r="B249" s="50"/>
    </row>
    <row r="250" spans="2:2" ht="13.2" x14ac:dyDescent="0.25">
      <c r="B250" s="50"/>
    </row>
    <row r="251" spans="2:2" ht="13.2" x14ac:dyDescent="0.25">
      <c r="B251" s="50"/>
    </row>
    <row r="252" spans="2:2" ht="13.2" x14ac:dyDescent="0.25">
      <c r="B252" s="50"/>
    </row>
    <row r="253" spans="2:2" ht="13.2" x14ac:dyDescent="0.25">
      <c r="B253" s="50"/>
    </row>
    <row r="254" spans="2:2" ht="13.2" x14ac:dyDescent="0.25">
      <c r="B254" s="50"/>
    </row>
    <row r="255" spans="2:2" ht="13.2" x14ac:dyDescent="0.25">
      <c r="B255" s="50"/>
    </row>
    <row r="256" spans="2:2" ht="13.2" x14ac:dyDescent="0.25">
      <c r="B256" s="50"/>
    </row>
    <row r="257" spans="2:2" ht="13.2" x14ac:dyDescent="0.25">
      <c r="B257" s="50"/>
    </row>
    <row r="258" spans="2:2" ht="13.2" x14ac:dyDescent="0.25">
      <c r="B258" s="50"/>
    </row>
    <row r="259" spans="2:2" ht="13.2" x14ac:dyDescent="0.25">
      <c r="B259" s="50"/>
    </row>
    <row r="260" spans="2:2" ht="13.2" x14ac:dyDescent="0.25">
      <c r="B260" s="50"/>
    </row>
    <row r="261" spans="2:2" ht="13.2" x14ac:dyDescent="0.25">
      <c r="B261" s="50"/>
    </row>
    <row r="262" spans="2:2" ht="13.2" x14ac:dyDescent="0.25">
      <c r="B262" s="50"/>
    </row>
    <row r="263" spans="2:2" ht="13.2" x14ac:dyDescent="0.25">
      <c r="B263" s="50"/>
    </row>
    <row r="264" spans="2:2" ht="13.2" x14ac:dyDescent="0.25">
      <c r="B264" s="50"/>
    </row>
    <row r="265" spans="2:2" ht="13.2" x14ac:dyDescent="0.25">
      <c r="B265" s="50"/>
    </row>
    <row r="266" spans="2:2" ht="13.2" x14ac:dyDescent="0.25">
      <c r="B266" s="50"/>
    </row>
    <row r="267" spans="2:2" ht="13.2" x14ac:dyDescent="0.25">
      <c r="B267" s="50"/>
    </row>
    <row r="268" spans="2:2" ht="13.2" x14ac:dyDescent="0.25">
      <c r="B268" s="50"/>
    </row>
    <row r="269" spans="2:2" ht="13.2" x14ac:dyDescent="0.25">
      <c r="B269" s="50"/>
    </row>
    <row r="270" spans="2:2" ht="13.2" x14ac:dyDescent="0.25">
      <c r="B270" s="50"/>
    </row>
    <row r="271" spans="2:2" ht="13.2" x14ac:dyDescent="0.25">
      <c r="B271" s="50"/>
    </row>
    <row r="272" spans="2:2" ht="13.2" x14ac:dyDescent="0.25">
      <c r="B272" s="50"/>
    </row>
    <row r="273" spans="2:2" ht="13.2" x14ac:dyDescent="0.25">
      <c r="B273" s="50"/>
    </row>
    <row r="274" spans="2:2" ht="13.2" x14ac:dyDescent="0.25">
      <c r="B274" s="50"/>
    </row>
    <row r="275" spans="2:2" ht="13.2" x14ac:dyDescent="0.25">
      <c r="B275" s="50"/>
    </row>
    <row r="276" spans="2:2" ht="13.2" x14ac:dyDescent="0.25">
      <c r="B276" s="50"/>
    </row>
    <row r="277" spans="2:2" ht="13.2" x14ac:dyDescent="0.25">
      <c r="B277" s="50"/>
    </row>
    <row r="278" spans="2:2" ht="13.2" x14ac:dyDescent="0.25">
      <c r="B278" s="50"/>
    </row>
    <row r="279" spans="2:2" ht="13.2" x14ac:dyDescent="0.25">
      <c r="B279" s="50"/>
    </row>
    <row r="280" spans="2:2" ht="13.2" x14ac:dyDescent="0.25">
      <c r="B280" s="50"/>
    </row>
    <row r="281" spans="2:2" ht="13.2" x14ac:dyDescent="0.25">
      <c r="B281" s="50"/>
    </row>
    <row r="282" spans="2:2" ht="13.2" x14ac:dyDescent="0.25">
      <c r="B282" s="50"/>
    </row>
    <row r="283" spans="2:2" ht="13.2" x14ac:dyDescent="0.25">
      <c r="B283" s="50"/>
    </row>
    <row r="284" spans="2:2" ht="13.2" x14ac:dyDescent="0.25">
      <c r="B284" s="50"/>
    </row>
    <row r="285" spans="2:2" ht="13.2" x14ac:dyDescent="0.25">
      <c r="B285" s="50"/>
    </row>
    <row r="286" spans="2:2" ht="13.2" x14ac:dyDescent="0.25">
      <c r="B286" s="50"/>
    </row>
    <row r="287" spans="2:2" ht="13.2" x14ac:dyDescent="0.25">
      <c r="B287" s="50"/>
    </row>
    <row r="288" spans="2:2" ht="13.2" x14ac:dyDescent="0.25">
      <c r="B288" s="50"/>
    </row>
    <row r="289" spans="2:2" ht="13.2" x14ac:dyDescent="0.25">
      <c r="B289" s="50"/>
    </row>
    <row r="290" spans="2:2" ht="13.2" x14ac:dyDescent="0.25">
      <c r="B290" s="50"/>
    </row>
    <row r="291" spans="2:2" ht="13.2" x14ac:dyDescent="0.25">
      <c r="B291" s="50"/>
    </row>
    <row r="292" spans="2:2" ht="13.2" x14ac:dyDescent="0.25">
      <c r="B292" s="50"/>
    </row>
    <row r="293" spans="2:2" ht="13.2" x14ac:dyDescent="0.25">
      <c r="B293" s="50"/>
    </row>
    <row r="294" spans="2:2" ht="13.2" x14ac:dyDescent="0.25">
      <c r="B294" s="50"/>
    </row>
    <row r="295" spans="2:2" ht="13.2" x14ac:dyDescent="0.25">
      <c r="B295" s="50"/>
    </row>
    <row r="296" spans="2:2" ht="13.2" x14ac:dyDescent="0.25">
      <c r="B296" s="50"/>
    </row>
    <row r="297" spans="2:2" ht="13.2" x14ac:dyDescent="0.25">
      <c r="B297" s="50"/>
    </row>
    <row r="298" spans="2:2" ht="13.2" x14ac:dyDescent="0.25">
      <c r="B298" s="50"/>
    </row>
    <row r="299" spans="2:2" ht="13.2" x14ac:dyDescent="0.25">
      <c r="B299" s="50"/>
    </row>
    <row r="300" spans="2:2" ht="13.2" x14ac:dyDescent="0.25">
      <c r="B300" s="50"/>
    </row>
    <row r="301" spans="2:2" ht="13.2" x14ac:dyDescent="0.25">
      <c r="B301" s="50"/>
    </row>
    <row r="302" spans="2:2" ht="13.2" x14ac:dyDescent="0.25">
      <c r="B302" s="50"/>
    </row>
    <row r="303" spans="2:2" ht="13.2" x14ac:dyDescent="0.25">
      <c r="B303" s="50"/>
    </row>
    <row r="304" spans="2:2" ht="13.2" x14ac:dyDescent="0.25">
      <c r="B304" s="50"/>
    </row>
    <row r="305" spans="2:2" ht="13.2" x14ac:dyDescent="0.25">
      <c r="B305" s="50"/>
    </row>
    <row r="306" spans="2:2" ht="13.2" x14ac:dyDescent="0.25">
      <c r="B306" s="50"/>
    </row>
    <row r="307" spans="2:2" ht="13.2" x14ac:dyDescent="0.25">
      <c r="B307" s="50"/>
    </row>
    <row r="308" spans="2:2" ht="13.2" x14ac:dyDescent="0.25">
      <c r="B308" s="50"/>
    </row>
    <row r="309" spans="2:2" ht="13.2" x14ac:dyDescent="0.25">
      <c r="B309" s="50"/>
    </row>
    <row r="310" spans="2:2" ht="13.2" x14ac:dyDescent="0.25">
      <c r="B310" s="50"/>
    </row>
    <row r="311" spans="2:2" ht="13.2" x14ac:dyDescent="0.25">
      <c r="B311" s="50"/>
    </row>
    <row r="312" spans="2:2" ht="13.2" x14ac:dyDescent="0.25">
      <c r="B312" s="50"/>
    </row>
    <row r="313" spans="2:2" ht="13.2" x14ac:dyDescent="0.25">
      <c r="B313" s="50"/>
    </row>
    <row r="314" spans="2:2" ht="13.2" x14ac:dyDescent="0.25">
      <c r="B314" s="50"/>
    </row>
    <row r="315" spans="2:2" ht="13.2" x14ac:dyDescent="0.25">
      <c r="B315" s="50"/>
    </row>
    <row r="316" spans="2:2" ht="13.2" x14ac:dyDescent="0.25">
      <c r="B316" s="50"/>
    </row>
    <row r="317" spans="2:2" ht="13.2" x14ac:dyDescent="0.25">
      <c r="B317" s="50"/>
    </row>
    <row r="318" spans="2:2" ht="13.2" x14ac:dyDescent="0.25">
      <c r="B318" s="50"/>
    </row>
    <row r="319" spans="2:2" ht="13.2" x14ac:dyDescent="0.25">
      <c r="B319" s="50"/>
    </row>
    <row r="320" spans="2:2" ht="13.2" x14ac:dyDescent="0.25">
      <c r="B320" s="50"/>
    </row>
    <row r="321" spans="2:2" ht="13.2" x14ac:dyDescent="0.25">
      <c r="B321" s="50"/>
    </row>
    <row r="322" spans="2:2" ht="13.2" x14ac:dyDescent="0.25">
      <c r="B322" s="50"/>
    </row>
    <row r="323" spans="2:2" ht="13.2" x14ac:dyDescent="0.25">
      <c r="B323" s="50"/>
    </row>
    <row r="324" spans="2:2" ht="13.2" x14ac:dyDescent="0.25">
      <c r="B324" s="50"/>
    </row>
    <row r="325" spans="2:2" ht="13.2" x14ac:dyDescent="0.25">
      <c r="B325" s="50"/>
    </row>
    <row r="326" spans="2:2" ht="13.2" x14ac:dyDescent="0.25">
      <c r="B326" s="50"/>
    </row>
    <row r="327" spans="2:2" ht="13.2" x14ac:dyDescent="0.25">
      <c r="B327" s="50"/>
    </row>
    <row r="328" spans="2:2" ht="13.2" x14ac:dyDescent="0.25">
      <c r="B328" s="50"/>
    </row>
    <row r="329" spans="2:2" ht="13.2" x14ac:dyDescent="0.25">
      <c r="B329" s="50"/>
    </row>
    <row r="330" spans="2:2" ht="13.2" x14ac:dyDescent="0.25">
      <c r="B330" s="50"/>
    </row>
    <row r="331" spans="2:2" ht="13.2" x14ac:dyDescent="0.25">
      <c r="B331" s="50"/>
    </row>
    <row r="332" spans="2:2" ht="13.2" x14ac:dyDescent="0.25">
      <c r="B332" s="50"/>
    </row>
    <row r="333" spans="2:2" ht="13.2" x14ac:dyDescent="0.25">
      <c r="B333" s="50"/>
    </row>
    <row r="334" spans="2:2" ht="13.2" x14ac:dyDescent="0.25">
      <c r="B334" s="50"/>
    </row>
    <row r="335" spans="2:2" ht="13.2" x14ac:dyDescent="0.25">
      <c r="B335" s="50"/>
    </row>
    <row r="336" spans="2:2" ht="13.2" x14ac:dyDescent="0.25">
      <c r="B336" s="50"/>
    </row>
    <row r="337" spans="2:2" ht="13.2" x14ac:dyDescent="0.25">
      <c r="B337" s="50"/>
    </row>
    <row r="338" spans="2:2" ht="13.2" x14ac:dyDescent="0.25">
      <c r="B338" s="50"/>
    </row>
    <row r="339" spans="2:2" ht="13.2" x14ac:dyDescent="0.25">
      <c r="B339" s="50"/>
    </row>
    <row r="340" spans="2:2" ht="13.2" x14ac:dyDescent="0.25">
      <c r="B340" s="50"/>
    </row>
    <row r="341" spans="2:2" ht="13.2" x14ac:dyDescent="0.25">
      <c r="B341" s="50"/>
    </row>
    <row r="342" spans="2:2" ht="13.2" x14ac:dyDescent="0.25">
      <c r="B342" s="50"/>
    </row>
    <row r="343" spans="2:2" ht="13.2" x14ac:dyDescent="0.25">
      <c r="B343" s="50"/>
    </row>
    <row r="344" spans="2:2" ht="13.2" x14ac:dyDescent="0.25">
      <c r="B344" s="50"/>
    </row>
    <row r="345" spans="2:2" ht="13.2" x14ac:dyDescent="0.25">
      <c r="B345" s="50"/>
    </row>
    <row r="346" spans="2:2" ht="13.2" x14ac:dyDescent="0.25">
      <c r="B346" s="50"/>
    </row>
    <row r="347" spans="2:2" ht="13.2" x14ac:dyDescent="0.25">
      <c r="B347" s="50"/>
    </row>
    <row r="348" spans="2:2" ht="13.2" x14ac:dyDescent="0.25">
      <c r="B348" s="50"/>
    </row>
    <row r="349" spans="2:2" ht="13.2" x14ac:dyDescent="0.25">
      <c r="B349" s="50"/>
    </row>
    <row r="350" spans="2:2" ht="13.2" x14ac:dyDescent="0.25">
      <c r="B350" s="50"/>
    </row>
    <row r="351" spans="2:2" ht="13.2" x14ac:dyDescent="0.25">
      <c r="B351" s="50"/>
    </row>
    <row r="352" spans="2:2" ht="13.2" x14ac:dyDescent="0.25">
      <c r="B352" s="50"/>
    </row>
    <row r="353" spans="2:2" ht="13.2" x14ac:dyDescent="0.25">
      <c r="B353" s="50"/>
    </row>
    <row r="354" spans="2:2" ht="13.2" x14ac:dyDescent="0.25">
      <c r="B354" s="50"/>
    </row>
    <row r="355" spans="2:2" ht="13.2" x14ac:dyDescent="0.25">
      <c r="B355" s="50"/>
    </row>
    <row r="356" spans="2:2" ht="13.2" x14ac:dyDescent="0.25">
      <c r="B356" s="50"/>
    </row>
    <row r="357" spans="2:2" ht="13.2" x14ac:dyDescent="0.25">
      <c r="B357" s="50"/>
    </row>
    <row r="358" spans="2:2" ht="13.2" x14ac:dyDescent="0.25">
      <c r="B358" s="50"/>
    </row>
    <row r="359" spans="2:2" ht="13.2" x14ac:dyDescent="0.25">
      <c r="B359" s="50"/>
    </row>
    <row r="360" spans="2:2" ht="13.2" x14ac:dyDescent="0.25">
      <c r="B360" s="50"/>
    </row>
    <row r="361" spans="2:2" ht="13.2" x14ac:dyDescent="0.25">
      <c r="B361" s="50"/>
    </row>
    <row r="362" spans="2:2" ht="13.2" x14ac:dyDescent="0.25">
      <c r="B362" s="50"/>
    </row>
    <row r="363" spans="2:2" ht="13.2" x14ac:dyDescent="0.25">
      <c r="B363" s="50"/>
    </row>
    <row r="364" spans="2:2" ht="13.2" x14ac:dyDescent="0.25">
      <c r="B364" s="50"/>
    </row>
    <row r="365" spans="2:2" ht="13.2" x14ac:dyDescent="0.25">
      <c r="B365" s="50"/>
    </row>
    <row r="366" spans="2:2" ht="13.2" x14ac:dyDescent="0.25">
      <c r="B366" s="50"/>
    </row>
    <row r="367" spans="2:2" ht="13.2" x14ac:dyDescent="0.25">
      <c r="B367" s="50"/>
    </row>
    <row r="368" spans="2:2" ht="13.2" x14ac:dyDescent="0.25">
      <c r="B368" s="50"/>
    </row>
    <row r="369" spans="2:2" ht="13.2" x14ac:dyDescent="0.25">
      <c r="B369" s="50"/>
    </row>
    <row r="370" spans="2:2" ht="13.2" x14ac:dyDescent="0.25">
      <c r="B370" s="50"/>
    </row>
    <row r="371" spans="2:2" ht="13.2" x14ac:dyDescent="0.25">
      <c r="B371" s="50"/>
    </row>
    <row r="372" spans="2:2" ht="13.2" x14ac:dyDescent="0.25">
      <c r="B372" s="50"/>
    </row>
    <row r="373" spans="2:2" ht="13.2" x14ac:dyDescent="0.25">
      <c r="B373" s="50"/>
    </row>
    <row r="374" spans="2:2" ht="13.2" x14ac:dyDescent="0.25">
      <c r="B374" s="50"/>
    </row>
    <row r="375" spans="2:2" ht="13.2" x14ac:dyDescent="0.25">
      <c r="B375" s="50"/>
    </row>
    <row r="376" spans="2:2" ht="13.2" x14ac:dyDescent="0.25">
      <c r="B376" s="50"/>
    </row>
    <row r="377" spans="2:2" ht="13.2" x14ac:dyDescent="0.25">
      <c r="B377" s="50"/>
    </row>
    <row r="378" spans="2:2" ht="13.2" x14ac:dyDescent="0.25">
      <c r="B378" s="50"/>
    </row>
    <row r="379" spans="2:2" ht="13.2" x14ac:dyDescent="0.25">
      <c r="B379" s="50"/>
    </row>
    <row r="380" spans="2:2" ht="13.2" x14ac:dyDescent="0.25">
      <c r="B380" s="50"/>
    </row>
    <row r="381" spans="2:2" ht="13.2" x14ac:dyDescent="0.25">
      <c r="B381" s="50"/>
    </row>
    <row r="382" spans="2:2" ht="13.2" x14ac:dyDescent="0.25">
      <c r="B382" s="50"/>
    </row>
    <row r="383" spans="2:2" ht="13.2" x14ac:dyDescent="0.25">
      <c r="B383" s="50"/>
    </row>
    <row r="384" spans="2:2" ht="13.2" x14ac:dyDescent="0.25">
      <c r="B384" s="50"/>
    </row>
    <row r="385" spans="2:2" ht="13.2" x14ac:dyDescent="0.25">
      <c r="B385" s="50"/>
    </row>
    <row r="386" spans="2:2" ht="13.2" x14ac:dyDescent="0.25">
      <c r="B386" s="50"/>
    </row>
    <row r="387" spans="2:2" ht="13.2" x14ac:dyDescent="0.25">
      <c r="B387" s="50"/>
    </row>
    <row r="388" spans="2:2" ht="13.2" x14ac:dyDescent="0.25">
      <c r="B388" s="50"/>
    </row>
    <row r="389" spans="2:2" ht="13.2" x14ac:dyDescent="0.25">
      <c r="B389" s="50"/>
    </row>
    <row r="390" spans="2:2" ht="13.2" x14ac:dyDescent="0.25">
      <c r="B390" s="50"/>
    </row>
    <row r="391" spans="2:2" ht="13.2" x14ac:dyDescent="0.25">
      <c r="B391" s="50"/>
    </row>
    <row r="392" spans="2:2" ht="13.2" x14ac:dyDescent="0.25">
      <c r="B392" s="50"/>
    </row>
    <row r="393" spans="2:2" ht="13.2" x14ac:dyDescent="0.25">
      <c r="B393" s="50"/>
    </row>
    <row r="394" spans="2:2" ht="13.2" x14ac:dyDescent="0.25">
      <c r="B394" s="50"/>
    </row>
    <row r="395" spans="2:2" ht="13.2" x14ac:dyDescent="0.25">
      <c r="B395" s="50"/>
    </row>
    <row r="396" spans="2:2" ht="13.2" x14ac:dyDescent="0.25">
      <c r="B396" s="50"/>
    </row>
    <row r="397" spans="2:2" ht="13.2" x14ac:dyDescent="0.25">
      <c r="B397" s="50"/>
    </row>
    <row r="398" spans="2:2" ht="13.2" x14ac:dyDescent="0.25">
      <c r="B398" s="50"/>
    </row>
    <row r="399" spans="2:2" ht="13.2" x14ac:dyDescent="0.25">
      <c r="B399" s="50"/>
    </row>
    <row r="400" spans="2:2" ht="13.2" x14ac:dyDescent="0.25">
      <c r="B400" s="50"/>
    </row>
    <row r="401" spans="2:2" ht="13.2" x14ac:dyDescent="0.25">
      <c r="B401" s="50"/>
    </row>
    <row r="402" spans="2:2" ht="13.2" x14ac:dyDescent="0.25">
      <c r="B402" s="50"/>
    </row>
    <row r="403" spans="2:2" ht="13.2" x14ac:dyDescent="0.25">
      <c r="B403" s="50"/>
    </row>
    <row r="404" spans="2:2" ht="13.2" x14ac:dyDescent="0.25">
      <c r="B404" s="50"/>
    </row>
    <row r="405" spans="2:2" ht="13.2" x14ac:dyDescent="0.25">
      <c r="B405" s="50"/>
    </row>
    <row r="406" spans="2:2" ht="13.2" x14ac:dyDescent="0.25">
      <c r="B406" s="50"/>
    </row>
    <row r="407" spans="2:2" ht="13.2" x14ac:dyDescent="0.25">
      <c r="B407" s="50"/>
    </row>
    <row r="408" spans="2:2" ht="13.2" x14ac:dyDescent="0.25">
      <c r="B408" s="50"/>
    </row>
    <row r="409" spans="2:2" ht="13.2" x14ac:dyDescent="0.25">
      <c r="B409" s="50"/>
    </row>
    <row r="410" spans="2:2" ht="13.2" x14ac:dyDescent="0.25">
      <c r="B410" s="50"/>
    </row>
    <row r="411" spans="2:2" ht="13.2" x14ac:dyDescent="0.25">
      <c r="B411" s="50"/>
    </row>
    <row r="412" spans="2:2" ht="13.2" x14ac:dyDescent="0.25">
      <c r="B412" s="50"/>
    </row>
    <row r="413" spans="2:2" ht="13.2" x14ac:dyDescent="0.25">
      <c r="B413" s="50"/>
    </row>
    <row r="414" spans="2:2" ht="13.2" x14ac:dyDescent="0.25">
      <c r="B414" s="50"/>
    </row>
    <row r="415" spans="2:2" ht="13.2" x14ac:dyDescent="0.25">
      <c r="B415" s="50"/>
    </row>
    <row r="416" spans="2:2" ht="13.2" x14ac:dyDescent="0.25">
      <c r="B416" s="50"/>
    </row>
    <row r="417" spans="2:2" ht="13.2" x14ac:dyDescent="0.25">
      <c r="B417" s="50"/>
    </row>
    <row r="418" spans="2:2" ht="13.2" x14ac:dyDescent="0.25">
      <c r="B418" s="50"/>
    </row>
    <row r="419" spans="2:2" ht="13.2" x14ac:dyDescent="0.25">
      <c r="B419" s="50"/>
    </row>
    <row r="420" spans="2:2" ht="13.2" x14ac:dyDescent="0.25">
      <c r="B420" s="50"/>
    </row>
    <row r="421" spans="2:2" ht="13.2" x14ac:dyDescent="0.25">
      <c r="B421" s="50"/>
    </row>
    <row r="422" spans="2:2" ht="13.2" x14ac:dyDescent="0.25">
      <c r="B422" s="50"/>
    </row>
    <row r="423" spans="2:2" ht="13.2" x14ac:dyDescent="0.25">
      <c r="B423" s="50"/>
    </row>
    <row r="424" spans="2:2" ht="13.2" x14ac:dyDescent="0.25">
      <c r="B424" s="50"/>
    </row>
    <row r="425" spans="2:2" ht="13.2" x14ac:dyDescent="0.25">
      <c r="B425" s="50"/>
    </row>
    <row r="426" spans="2:2" ht="13.2" x14ac:dyDescent="0.25">
      <c r="B426" s="50"/>
    </row>
    <row r="427" spans="2:2" ht="13.2" x14ac:dyDescent="0.25">
      <c r="B427" s="50"/>
    </row>
    <row r="428" spans="2:2" ht="13.2" x14ac:dyDescent="0.25">
      <c r="B428" s="50"/>
    </row>
    <row r="429" spans="2:2" ht="13.2" x14ac:dyDescent="0.25">
      <c r="B429" s="50"/>
    </row>
    <row r="430" spans="2:2" ht="13.2" x14ac:dyDescent="0.25">
      <c r="B430" s="50"/>
    </row>
    <row r="431" spans="2:2" ht="13.2" x14ac:dyDescent="0.25">
      <c r="B431" s="50"/>
    </row>
    <row r="432" spans="2:2" ht="13.2" x14ac:dyDescent="0.25">
      <c r="B432" s="50"/>
    </row>
    <row r="433" spans="2:2" ht="13.2" x14ac:dyDescent="0.25">
      <c r="B433" s="50"/>
    </row>
    <row r="434" spans="2:2" ht="13.2" x14ac:dyDescent="0.25">
      <c r="B434" s="50"/>
    </row>
    <row r="435" spans="2:2" ht="13.2" x14ac:dyDescent="0.25">
      <c r="B435" s="50"/>
    </row>
    <row r="436" spans="2:2" ht="13.2" x14ac:dyDescent="0.25">
      <c r="B436" s="50"/>
    </row>
    <row r="437" spans="2:2" ht="13.2" x14ac:dyDescent="0.25">
      <c r="B437" s="50"/>
    </row>
    <row r="438" spans="2:2" ht="13.2" x14ac:dyDescent="0.25">
      <c r="B438" s="50"/>
    </row>
    <row r="439" spans="2:2" ht="13.2" x14ac:dyDescent="0.25">
      <c r="B439" s="50"/>
    </row>
    <row r="440" spans="2:2" ht="13.2" x14ac:dyDescent="0.25">
      <c r="B440" s="50"/>
    </row>
    <row r="441" spans="2:2" ht="13.2" x14ac:dyDescent="0.25">
      <c r="B441" s="50"/>
    </row>
    <row r="442" spans="2:2" ht="13.2" x14ac:dyDescent="0.25">
      <c r="B442" s="50"/>
    </row>
    <row r="443" spans="2:2" ht="13.2" x14ac:dyDescent="0.25">
      <c r="B443" s="50"/>
    </row>
    <row r="444" spans="2:2" ht="13.2" x14ac:dyDescent="0.25">
      <c r="B444" s="50"/>
    </row>
    <row r="445" spans="2:2" ht="13.2" x14ac:dyDescent="0.25">
      <c r="B445" s="50"/>
    </row>
    <row r="446" spans="2:2" ht="13.2" x14ac:dyDescent="0.25">
      <c r="B446" s="50"/>
    </row>
    <row r="447" spans="2:2" ht="13.2" x14ac:dyDescent="0.25">
      <c r="B447" s="50"/>
    </row>
    <row r="448" spans="2:2" ht="13.2" x14ac:dyDescent="0.25">
      <c r="B448" s="50"/>
    </row>
    <row r="449" spans="2:2" ht="13.2" x14ac:dyDescent="0.25">
      <c r="B449" s="50"/>
    </row>
    <row r="450" spans="2:2" ht="13.2" x14ac:dyDescent="0.25">
      <c r="B450" s="50"/>
    </row>
    <row r="451" spans="2:2" ht="13.2" x14ac:dyDescent="0.25">
      <c r="B451" s="50"/>
    </row>
    <row r="452" spans="2:2" ht="13.2" x14ac:dyDescent="0.25">
      <c r="B452" s="50"/>
    </row>
    <row r="453" spans="2:2" ht="13.2" x14ac:dyDescent="0.25">
      <c r="B453" s="50"/>
    </row>
    <row r="454" spans="2:2" ht="13.2" x14ac:dyDescent="0.25">
      <c r="B454" s="50"/>
    </row>
    <row r="455" spans="2:2" ht="13.2" x14ac:dyDescent="0.25">
      <c r="B455" s="50"/>
    </row>
    <row r="456" spans="2:2" ht="13.2" x14ac:dyDescent="0.25">
      <c r="B456" s="50"/>
    </row>
    <row r="457" spans="2:2" ht="13.2" x14ac:dyDescent="0.25">
      <c r="B457" s="50"/>
    </row>
    <row r="458" spans="2:2" ht="13.2" x14ac:dyDescent="0.25">
      <c r="B458" s="50"/>
    </row>
    <row r="459" spans="2:2" ht="13.2" x14ac:dyDescent="0.25">
      <c r="B459" s="50"/>
    </row>
    <row r="460" spans="2:2" ht="13.2" x14ac:dyDescent="0.25">
      <c r="B460" s="50"/>
    </row>
    <row r="461" spans="2:2" ht="13.2" x14ac:dyDescent="0.25">
      <c r="B461" s="50"/>
    </row>
    <row r="462" spans="2:2" ht="13.2" x14ac:dyDescent="0.25">
      <c r="B462" s="50"/>
    </row>
    <row r="463" spans="2:2" ht="13.2" x14ac:dyDescent="0.25">
      <c r="B463" s="50"/>
    </row>
    <row r="464" spans="2:2" ht="13.2" x14ac:dyDescent="0.25">
      <c r="B464" s="50"/>
    </row>
    <row r="465" spans="2:2" ht="13.2" x14ac:dyDescent="0.25">
      <c r="B465" s="50"/>
    </row>
    <row r="466" spans="2:2" ht="13.2" x14ac:dyDescent="0.25">
      <c r="B466" s="50"/>
    </row>
    <row r="467" spans="2:2" ht="13.2" x14ac:dyDescent="0.25">
      <c r="B467" s="50"/>
    </row>
    <row r="468" spans="2:2" ht="13.2" x14ac:dyDescent="0.25">
      <c r="B468" s="50"/>
    </row>
    <row r="469" spans="2:2" ht="13.2" x14ac:dyDescent="0.25">
      <c r="B469" s="50"/>
    </row>
    <row r="470" spans="2:2" ht="13.2" x14ac:dyDescent="0.25">
      <c r="B470" s="50"/>
    </row>
    <row r="471" spans="2:2" ht="13.2" x14ac:dyDescent="0.25">
      <c r="B471" s="50"/>
    </row>
    <row r="472" spans="2:2" ht="13.2" x14ac:dyDescent="0.25">
      <c r="B472" s="50"/>
    </row>
    <row r="473" spans="2:2" ht="13.2" x14ac:dyDescent="0.25">
      <c r="B473" s="50"/>
    </row>
    <row r="474" spans="2:2" ht="13.2" x14ac:dyDescent="0.25">
      <c r="B474" s="50"/>
    </row>
    <row r="475" spans="2:2" ht="13.2" x14ac:dyDescent="0.25">
      <c r="B475" s="50"/>
    </row>
    <row r="476" spans="2:2" ht="13.2" x14ac:dyDescent="0.25">
      <c r="B476" s="50"/>
    </row>
    <row r="477" spans="2:2" ht="13.2" x14ac:dyDescent="0.25">
      <c r="B477" s="50"/>
    </row>
    <row r="478" spans="2:2" ht="13.2" x14ac:dyDescent="0.25">
      <c r="B478" s="50"/>
    </row>
    <row r="479" spans="2:2" ht="13.2" x14ac:dyDescent="0.25">
      <c r="B479" s="50"/>
    </row>
    <row r="480" spans="2:2" ht="13.2" x14ac:dyDescent="0.25">
      <c r="B480" s="50"/>
    </row>
    <row r="481" spans="2:2" ht="13.2" x14ac:dyDescent="0.25">
      <c r="B481" s="50"/>
    </row>
    <row r="482" spans="2:2" ht="13.2" x14ac:dyDescent="0.25">
      <c r="B482" s="50"/>
    </row>
    <row r="483" spans="2:2" ht="13.2" x14ac:dyDescent="0.25">
      <c r="B483" s="50"/>
    </row>
    <row r="484" spans="2:2" ht="13.2" x14ac:dyDescent="0.25">
      <c r="B484" s="50"/>
    </row>
    <row r="485" spans="2:2" ht="13.2" x14ac:dyDescent="0.25">
      <c r="B485" s="50"/>
    </row>
    <row r="486" spans="2:2" ht="13.2" x14ac:dyDescent="0.25">
      <c r="B486" s="50"/>
    </row>
    <row r="487" spans="2:2" ht="13.2" x14ac:dyDescent="0.25">
      <c r="B487" s="50"/>
    </row>
    <row r="488" spans="2:2" ht="13.2" x14ac:dyDescent="0.25">
      <c r="B488" s="50"/>
    </row>
    <row r="489" spans="2:2" ht="13.2" x14ac:dyDescent="0.25">
      <c r="B489" s="50"/>
    </row>
    <row r="490" spans="2:2" ht="13.2" x14ac:dyDescent="0.25">
      <c r="B490" s="50"/>
    </row>
    <row r="491" spans="2:2" ht="13.2" x14ac:dyDescent="0.25">
      <c r="B491" s="50"/>
    </row>
    <row r="492" spans="2:2" ht="13.2" x14ac:dyDescent="0.25">
      <c r="B492" s="50"/>
    </row>
    <row r="493" spans="2:2" ht="13.2" x14ac:dyDescent="0.25">
      <c r="B493" s="50"/>
    </row>
    <row r="494" spans="2:2" ht="13.2" x14ac:dyDescent="0.25">
      <c r="B494" s="50"/>
    </row>
    <row r="495" spans="2:2" ht="13.2" x14ac:dyDescent="0.25">
      <c r="B495" s="50"/>
    </row>
    <row r="496" spans="2:2" ht="13.2" x14ac:dyDescent="0.25">
      <c r="B496" s="50"/>
    </row>
    <row r="497" spans="2:2" ht="13.2" x14ac:dyDescent="0.25">
      <c r="B497" s="50"/>
    </row>
    <row r="498" spans="2:2" ht="13.2" x14ac:dyDescent="0.25">
      <c r="B498" s="50"/>
    </row>
    <row r="499" spans="2:2" ht="13.2" x14ac:dyDescent="0.25">
      <c r="B499" s="50"/>
    </row>
    <row r="500" spans="2:2" ht="13.2" x14ac:dyDescent="0.25">
      <c r="B500" s="50"/>
    </row>
    <row r="501" spans="2:2" ht="13.2" x14ac:dyDescent="0.25">
      <c r="B501" s="50"/>
    </row>
    <row r="502" spans="2:2" ht="13.2" x14ac:dyDescent="0.25">
      <c r="B502" s="50"/>
    </row>
    <row r="503" spans="2:2" ht="13.2" x14ac:dyDescent="0.25">
      <c r="B503" s="50"/>
    </row>
    <row r="504" spans="2:2" ht="13.2" x14ac:dyDescent="0.25">
      <c r="B504" s="50"/>
    </row>
    <row r="505" spans="2:2" ht="13.2" x14ac:dyDescent="0.25">
      <c r="B505" s="50"/>
    </row>
    <row r="506" spans="2:2" ht="13.2" x14ac:dyDescent="0.25">
      <c r="B506" s="50"/>
    </row>
    <row r="507" spans="2:2" ht="13.2" x14ac:dyDescent="0.25">
      <c r="B507" s="50"/>
    </row>
    <row r="508" spans="2:2" ht="13.2" x14ac:dyDescent="0.25">
      <c r="B508" s="50"/>
    </row>
    <row r="509" spans="2:2" ht="13.2" x14ac:dyDescent="0.25">
      <c r="B509" s="50"/>
    </row>
    <row r="510" spans="2:2" ht="13.2" x14ac:dyDescent="0.25">
      <c r="B510" s="50"/>
    </row>
    <row r="511" spans="2:2" ht="13.2" x14ac:dyDescent="0.25">
      <c r="B511" s="50"/>
    </row>
    <row r="512" spans="2:2" ht="13.2" x14ac:dyDescent="0.25">
      <c r="B512" s="50"/>
    </row>
    <row r="513" spans="2:2" ht="13.2" x14ac:dyDescent="0.25">
      <c r="B513" s="50"/>
    </row>
    <row r="514" spans="2:2" ht="13.2" x14ac:dyDescent="0.25">
      <c r="B514" s="50"/>
    </row>
    <row r="515" spans="2:2" ht="13.2" x14ac:dyDescent="0.25">
      <c r="B515" s="50"/>
    </row>
    <row r="516" spans="2:2" ht="13.2" x14ac:dyDescent="0.25">
      <c r="B516" s="50"/>
    </row>
    <row r="517" spans="2:2" ht="13.2" x14ac:dyDescent="0.25">
      <c r="B517" s="50"/>
    </row>
    <row r="518" spans="2:2" ht="13.2" x14ac:dyDescent="0.25">
      <c r="B518" s="50"/>
    </row>
    <row r="519" spans="2:2" ht="13.2" x14ac:dyDescent="0.25">
      <c r="B519" s="50"/>
    </row>
    <row r="520" spans="2:2" ht="13.2" x14ac:dyDescent="0.25">
      <c r="B520" s="50"/>
    </row>
    <row r="521" spans="2:2" ht="13.2" x14ac:dyDescent="0.25">
      <c r="B521" s="50"/>
    </row>
    <row r="522" spans="2:2" ht="13.2" x14ac:dyDescent="0.25">
      <c r="B522" s="50"/>
    </row>
    <row r="523" spans="2:2" ht="13.2" x14ac:dyDescent="0.25">
      <c r="B523" s="50"/>
    </row>
    <row r="524" spans="2:2" ht="13.2" x14ac:dyDescent="0.25">
      <c r="B524" s="50"/>
    </row>
    <row r="525" spans="2:2" ht="13.2" x14ac:dyDescent="0.25">
      <c r="B525" s="50"/>
    </row>
    <row r="526" spans="2:2" ht="13.2" x14ac:dyDescent="0.25">
      <c r="B526" s="50"/>
    </row>
    <row r="527" spans="2:2" ht="13.2" x14ac:dyDescent="0.25">
      <c r="B527" s="50"/>
    </row>
    <row r="528" spans="2:2" ht="13.2" x14ac:dyDescent="0.25">
      <c r="B528" s="50"/>
    </row>
    <row r="529" spans="2:2" ht="13.2" x14ac:dyDescent="0.25">
      <c r="B529" s="50"/>
    </row>
    <row r="530" spans="2:2" ht="13.2" x14ac:dyDescent="0.25">
      <c r="B530" s="50"/>
    </row>
    <row r="531" spans="2:2" ht="13.2" x14ac:dyDescent="0.25">
      <c r="B531" s="50"/>
    </row>
    <row r="532" spans="2:2" ht="13.2" x14ac:dyDescent="0.25">
      <c r="B532" s="50"/>
    </row>
    <row r="533" spans="2:2" ht="13.2" x14ac:dyDescent="0.25">
      <c r="B533" s="50"/>
    </row>
    <row r="534" spans="2:2" ht="13.2" x14ac:dyDescent="0.25">
      <c r="B534" s="50"/>
    </row>
    <row r="535" spans="2:2" ht="13.2" x14ac:dyDescent="0.25">
      <c r="B535" s="50"/>
    </row>
    <row r="536" spans="2:2" ht="13.2" x14ac:dyDescent="0.25">
      <c r="B536" s="50"/>
    </row>
    <row r="537" spans="2:2" ht="13.2" x14ac:dyDescent="0.25">
      <c r="B537" s="50"/>
    </row>
    <row r="538" spans="2:2" ht="13.2" x14ac:dyDescent="0.25">
      <c r="B538" s="50"/>
    </row>
    <row r="539" spans="2:2" ht="13.2" x14ac:dyDescent="0.25">
      <c r="B539" s="50"/>
    </row>
    <row r="540" spans="2:2" ht="13.2" x14ac:dyDescent="0.25">
      <c r="B540" s="50"/>
    </row>
    <row r="541" spans="2:2" ht="13.2" x14ac:dyDescent="0.25">
      <c r="B541" s="50"/>
    </row>
    <row r="542" spans="2:2" ht="13.2" x14ac:dyDescent="0.25">
      <c r="B542" s="50"/>
    </row>
    <row r="543" spans="2:2" ht="13.2" x14ac:dyDescent="0.25">
      <c r="B543" s="50"/>
    </row>
    <row r="544" spans="2:2" ht="13.2" x14ac:dyDescent="0.25">
      <c r="B544" s="50"/>
    </row>
    <row r="545" spans="2:2" ht="13.2" x14ac:dyDescent="0.25">
      <c r="B545" s="50"/>
    </row>
    <row r="546" spans="2:2" ht="13.2" x14ac:dyDescent="0.25">
      <c r="B546" s="50"/>
    </row>
    <row r="547" spans="2:2" ht="13.2" x14ac:dyDescent="0.25">
      <c r="B547" s="50"/>
    </row>
    <row r="548" spans="2:2" ht="13.2" x14ac:dyDescent="0.25">
      <c r="B548" s="50"/>
    </row>
    <row r="549" spans="2:2" ht="13.2" x14ac:dyDescent="0.25">
      <c r="B549" s="50"/>
    </row>
    <row r="550" spans="2:2" ht="13.2" x14ac:dyDescent="0.25">
      <c r="B550" s="50"/>
    </row>
    <row r="551" spans="2:2" ht="13.2" x14ac:dyDescent="0.25">
      <c r="B551" s="50"/>
    </row>
    <row r="552" spans="2:2" ht="13.2" x14ac:dyDescent="0.25">
      <c r="B552" s="50"/>
    </row>
    <row r="553" spans="2:2" ht="13.2" x14ac:dyDescent="0.25">
      <c r="B553" s="50"/>
    </row>
    <row r="554" spans="2:2" ht="13.2" x14ac:dyDescent="0.25">
      <c r="B554" s="50"/>
    </row>
    <row r="555" spans="2:2" ht="13.2" x14ac:dyDescent="0.25">
      <c r="B555" s="50"/>
    </row>
    <row r="556" spans="2:2" ht="13.2" x14ac:dyDescent="0.25">
      <c r="B556" s="50"/>
    </row>
    <row r="557" spans="2:2" ht="13.2" x14ac:dyDescent="0.25">
      <c r="B557" s="50"/>
    </row>
    <row r="558" spans="2:2" ht="13.2" x14ac:dyDescent="0.25">
      <c r="B558" s="50"/>
    </row>
    <row r="559" spans="2:2" ht="13.2" x14ac:dyDescent="0.25">
      <c r="B559" s="50"/>
    </row>
    <row r="560" spans="2:2" ht="13.2" x14ac:dyDescent="0.25">
      <c r="B560" s="50"/>
    </row>
    <row r="561" spans="2:2" ht="13.2" x14ac:dyDescent="0.25">
      <c r="B561" s="50"/>
    </row>
    <row r="562" spans="2:2" ht="13.2" x14ac:dyDescent="0.25">
      <c r="B562" s="50"/>
    </row>
    <row r="563" spans="2:2" ht="13.2" x14ac:dyDescent="0.25">
      <c r="B563" s="50"/>
    </row>
    <row r="564" spans="2:2" ht="13.2" x14ac:dyDescent="0.25">
      <c r="B564" s="50"/>
    </row>
    <row r="565" spans="2:2" ht="13.2" x14ac:dyDescent="0.25">
      <c r="B565" s="50"/>
    </row>
    <row r="566" spans="2:2" ht="13.2" x14ac:dyDescent="0.25">
      <c r="B566" s="50"/>
    </row>
    <row r="567" spans="2:2" ht="13.2" x14ac:dyDescent="0.25">
      <c r="B567" s="50"/>
    </row>
    <row r="568" spans="2:2" ht="13.2" x14ac:dyDescent="0.25">
      <c r="B568" s="50"/>
    </row>
    <row r="569" spans="2:2" ht="13.2" x14ac:dyDescent="0.25">
      <c r="B569" s="50"/>
    </row>
    <row r="570" spans="2:2" ht="13.2" x14ac:dyDescent="0.25">
      <c r="B570" s="50"/>
    </row>
    <row r="571" spans="2:2" ht="13.2" x14ac:dyDescent="0.25">
      <c r="B571" s="50"/>
    </row>
    <row r="572" spans="2:2" ht="13.2" x14ac:dyDescent="0.25">
      <c r="B572" s="50"/>
    </row>
    <row r="573" spans="2:2" ht="13.2" x14ac:dyDescent="0.25">
      <c r="B573" s="50"/>
    </row>
    <row r="574" spans="2:2" ht="13.2" x14ac:dyDescent="0.25">
      <c r="B574" s="50"/>
    </row>
    <row r="575" spans="2:2" ht="13.2" x14ac:dyDescent="0.25">
      <c r="B575" s="50"/>
    </row>
    <row r="576" spans="2:2" ht="13.2" x14ac:dyDescent="0.25">
      <c r="B576" s="50"/>
    </row>
    <row r="577" spans="2:2" ht="13.2" x14ac:dyDescent="0.25">
      <c r="B577" s="50"/>
    </row>
    <row r="578" spans="2:2" ht="13.2" x14ac:dyDescent="0.25">
      <c r="B578" s="50"/>
    </row>
    <row r="579" spans="2:2" ht="13.2" x14ac:dyDescent="0.25">
      <c r="B579" s="50"/>
    </row>
    <row r="580" spans="2:2" ht="13.2" x14ac:dyDescent="0.25">
      <c r="B580" s="50"/>
    </row>
    <row r="581" spans="2:2" ht="13.2" x14ac:dyDescent="0.25">
      <c r="B581" s="50"/>
    </row>
    <row r="582" spans="2:2" ht="13.2" x14ac:dyDescent="0.25">
      <c r="B582" s="50"/>
    </row>
    <row r="583" spans="2:2" ht="13.2" x14ac:dyDescent="0.25">
      <c r="B583" s="50"/>
    </row>
    <row r="584" spans="2:2" ht="13.2" x14ac:dyDescent="0.25">
      <c r="B584" s="50"/>
    </row>
    <row r="585" spans="2:2" ht="13.2" x14ac:dyDescent="0.25">
      <c r="B585" s="50"/>
    </row>
    <row r="586" spans="2:2" ht="13.2" x14ac:dyDescent="0.25">
      <c r="B586" s="50"/>
    </row>
    <row r="587" spans="2:2" ht="13.2" x14ac:dyDescent="0.25">
      <c r="B587" s="50"/>
    </row>
    <row r="588" spans="2:2" ht="13.2" x14ac:dyDescent="0.25">
      <c r="B588" s="50"/>
    </row>
    <row r="589" spans="2:2" ht="13.2" x14ac:dyDescent="0.25">
      <c r="B589" s="50"/>
    </row>
    <row r="590" spans="2:2" ht="13.2" x14ac:dyDescent="0.25">
      <c r="B590" s="50"/>
    </row>
    <row r="591" spans="2:2" ht="13.2" x14ac:dyDescent="0.25">
      <c r="B591" s="50"/>
    </row>
    <row r="592" spans="2:2" ht="13.2" x14ac:dyDescent="0.25">
      <c r="B592" s="50"/>
    </row>
    <row r="593" spans="2:2" ht="13.2" x14ac:dyDescent="0.25">
      <c r="B593" s="50"/>
    </row>
    <row r="594" spans="2:2" ht="13.2" x14ac:dyDescent="0.25">
      <c r="B594" s="50"/>
    </row>
    <row r="595" spans="2:2" ht="13.2" x14ac:dyDescent="0.25">
      <c r="B595" s="50"/>
    </row>
    <row r="596" spans="2:2" ht="13.2" x14ac:dyDescent="0.25">
      <c r="B596" s="50"/>
    </row>
    <row r="597" spans="2:2" ht="13.2" x14ac:dyDescent="0.25">
      <c r="B597" s="50"/>
    </row>
    <row r="598" spans="2:2" ht="13.2" x14ac:dyDescent="0.25">
      <c r="B598" s="50"/>
    </row>
    <row r="599" spans="2:2" ht="13.2" x14ac:dyDescent="0.25">
      <c r="B599" s="50"/>
    </row>
    <row r="600" spans="2:2" ht="13.2" x14ac:dyDescent="0.25">
      <c r="B600" s="50"/>
    </row>
    <row r="601" spans="2:2" ht="13.2" x14ac:dyDescent="0.25">
      <c r="B601" s="50"/>
    </row>
    <row r="602" spans="2:2" ht="13.2" x14ac:dyDescent="0.25">
      <c r="B602" s="50"/>
    </row>
    <row r="603" spans="2:2" ht="13.2" x14ac:dyDescent="0.25">
      <c r="B603" s="50"/>
    </row>
    <row r="604" spans="2:2" ht="13.2" x14ac:dyDescent="0.25">
      <c r="B604" s="50"/>
    </row>
    <row r="605" spans="2:2" ht="13.2" x14ac:dyDescent="0.25">
      <c r="B605" s="50"/>
    </row>
    <row r="606" spans="2:2" ht="13.2" x14ac:dyDescent="0.25">
      <c r="B606" s="50"/>
    </row>
    <row r="607" spans="2:2" ht="13.2" x14ac:dyDescent="0.25">
      <c r="B607" s="50"/>
    </row>
    <row r="608" spans="2:2" ht="13.2" x14ac:dyDescent="0.25">
      <c r="B608" s="50"/>
    </row>
    <row r="609" spans="2:2" ht="13.2" x14ac:dyDescent="0.25">
      <c r="B609" s="50"/>
    </row>
    <row r="610" spans="2:2" ht="13.2" x14ac:dyDescent="0.25">
      <c r="B610" s="50"/>
    </row>
    <row r="611" spans="2:2" ht="13.2" x14ac:dyDescent="0.25">
      <c r="B611" s="50"/>
    </row>
    <row r="612" spans="2:2" ht="13.2" x14ac:dyDescent="0.25">
      <c r="B612" s="50"/>
    </row>
    <row r="613" spans="2:2" ht="13.2" x14ac:dyDescent="0.25">
      <c r="B613" s="50"/>
    </row>
    <row r="614" spans="2:2" ht="13.2" x14ac:dyDescent="0.25">
      <c r="B614" s="50"/>
    </row>
    <row r="615" spans="2:2" ht="13.2" x14ac:dyDescent="0.25">
      <c r="B615" s="50"/>
    </row>
    <row r="616" spans="2:2" ht="13.2" x14ac:dyDescent="0.25">
      <c r="B616" s="50"/>
    </row>
    <row r="617" spans="2:2" ht="13.2" x14ac:dyDescent="0.25">
      <c r="B617" s="50"/>
    </row>
    <row r="618" spans="2:2" ht="13.2" x14ac:dyDescent="0.25">
      <c r="B618" s="50"/>
    </row>
    <row r="619" spans="2:2" ht="13.2" x14ac:dyDescent="0.25">
      <c r="B619" s="50"/>
    </row>
    <row r="620" spans="2:2" ht="13.2" x14ac:dyDescent="0.25">
      <c r="B620" s="50"/>
    </row>
    <row r="621" spans="2:2" ht="13.2" x14ac:dyDescent="0.25">
      <c r="B621" s="50"/>
    </row>
    <row r="622" spans="2:2" ht="13.2" x14ac:dyDescent="0.25">
      <c r="B622" s="50"/>
    </row>
    <row r="623" spans="2:2" ht="13.2" x14ac:dyDescent="0.25">
      <c r="B623" s="50"/>
    </row>
    <row r="624" spans="2:2" ht="13.2" x14ac:dyDescent="0.25">
      <c r="B624" s="50"/>
    </row>
    <row r="625" spans="2:2" ht="13.2" x14ac:dyDescent="0.25">
      <c r="B625" s="50"/>
    </row>
    <row r="626" spans="2:2" ht="13.2" x14ac:dyDescent="0.25">
      <c r="B626" s="50"/>
    </row>
    <row r="627" spans="2:2" ht="13.2" x14ac:dyDescent="0.25">
      <c r="B627" s="50"/>
    </row>
    <row r="628" spans="2:2" ht="13.2" x14ac:dyDescent="0.25">
      <c r="B628" s="50"/>
    </row>
    <row r="629" spans="2:2" ht="13.2" x14ac:dyDescent="0.25">
      <c r="B629" s="50"/>
    </row>
    <row r="630" spans="2:2" ht="13.2" x14ac:dyDescent="0.25">
      <c r="B630" s="50"/>
    </row>
    <row r="631" spans="2:2" ht="13.2" x14ac:dyDescent="0.25">
      <c r="B631" s="50"/>
    </row>
    <row r="632" spans="2:2" ht="13.2" x14ac:dyDescent="0.25">
      <c r="B632" s="50"/>
    </row>
    <row r="633" spans="2:2" ht="13.2" x14ac:dyDescent="0.25">
      <c r="B633" s="50"/>
    </row>
    <row r="634" spans="2:2" ht="13.2" x14ac:dyDescent="0.25">
      <c r="B634" s="50"/>
    </row>
    <row r="635" spans="2:2" ht="13.2" x14ac:dyDescent="0.25">
      <c r="B635" s="50"/>
    </row>
    <row r="636" spans="2:2" ht="13.2" x14ac:dyDescent="0.25">
      <c r="B636" s="50"/>
    </row>
    <row r="637" spans="2:2" ht="13.2" x14ac:dyDescent="0.25">
      <c r="B637" s="50"/>
    </row>
    <row r="638" spans="2:2" ht="13.2" x14ac:dyDescent="0.25">
      <c r="B638" s="50"/>
    </row>
    <row r="639" spans="2:2" ht="13.2" x14ac:dyDescent="0.25">
      <c r="B639" s="50"/>
    </row>
    <row r="640" spans="2:2" ht="13.2" x14ac:dyDescent="0.25">
      <c r="B640" s="50"/>
    </row>
    <row r="641" spans="2:2" ht="13.2" x14ac:dyDescent="0.25">
      <c r="B641" s="50"/>
    </row>
    <row r="642" spans="2:2" ht="13.2" x14ac:dyDescent="0.25">
      <c r="B642" s="50"/>
    </row>
    <row r="643" spans="2:2" ht="13.2" x14ac:dyDescent="0.25">
      <c r="B643" s="50"/>
    </row>
    <row r="644" spans="2:2" ht="13.2" x14ac:dyDescent="0.25">
      <c r="B644" s="50"/>
    </row>
    <row r="645" spans="2:2" ht="13.2" x14ac:dyDescent="0.25">
      <c r="B645" s="50"/>
    </row>
    <row r="646" spans="2:2" ht="13.2" x14ac:dyDescent="0.25">
      <c r="B646" s="50"/>
    </row>
    <row r="647" spans="2:2" ht="13.2" x14ac:dyDescent="0.25">
      <c r="B647" s="50"/>
    </row>
    <row r="648" spans="2:2" ht="13.2" x14ac:dyDescent="0.25">
      <c r="B648" s="50"/>
    </row>
    <row r="649" spans="2:2" ht="13.2" x14ac:dyDescent="0.25">
      <c r="B649" s="50"/>
    </row>
    <row r="650" spans="2:2" ht="13.2" x14ac:dyDescent="0.25">
      <c r="B650" s="50"/>
    </row>
    <row r="651" spans="2:2" ht="13.2" x14ac:dyDescent="0.25">
      <c r="B651" s="50"/>
    </row>
    <row r="652" spans="2:2" ht="13.2" x14ac:dyDescent="0.25">
      <c r="B652" s="50"/>
    </row>
    <row r="653" spans="2:2" ht="13.2" x14ac:dyDescent="0.25">
      <c r="B653" s="50"/>
    </row>
    <row r="654" spans="2:2" ht="13.2" x14ac:dyDescent="0.25">
      <c r="B654" s="50"/>
    </row>
    <row r="655" spans="2:2" ht="13.2" x14ac:dyDescent="0.25">
      <c r="B655" s="50"/>
    </row>
    <row r="656" spans="2:2" ht="13.2" x14ac:dyDescent="0.25">
      <c r="B656" s="50"/>
    </row>
    <row r="657" spans="2:2" ht="13.2" x14ac:dyDescent="0.25">
      <c r="B657" s="50"/>
    </row>
    <row r="658" spans="2:2" ht="13.2" x14ac:dyDescent="0.25">
      <c r="B658" s="50"/>
    </row>
    <row r="659" spans="2:2" ht="13.2" x14ac:dyDescent="0.25">
      <c r="B659" s="50"/>
    </row>
    <row r="660" spans="2:2" ht="13.2" x14ac:dyDescent="0.25">
      <c r="B660" s="50"/>
    </row>
    <row r="661" spans="2:2" ht="13.2" x14ac:dyDescent="0.25">
      <c r="B661" s="50"/>
    </row>
    <row r="662" spans="2:2" ht="13.2" x14ac:dyDescent="0.25">
      <c r="B662" s="50"/>
    </row>
    <row r="663" spans="2:2" ht="13.2" x14ac:dyDescent="0.25">
      <c r="B663" s="50"/>
    </row>
    <row r="664" spans="2:2" ht="13.2" x14ac:dyDescent="0.25">
      <c r="B664" s="50"/>
    </row>
    <row r="665" spans="2:2" ht="13.2" x14ac:dyDescent="0.25">
      <c r="B665" s="50"/>
    </row>
    <row r="666" spans="2:2" ht="13.2" x14ac:dyDescent="0.25">
      <c r="B666" s="50"/>
    </row>
    <row r="667" spans="2:2" ht="13.2" x14ac:dyDescent="0.25">
      <c r="B667" s="50"/>
    </row>
    <row r="668" spans="2:2" ht="13.2" x14ac:dyDescent="0.25">
      <c r="B668" s="50"/>
    </row>
    <row r="669" spans="2:2" ht="13.2" x14ac:dyDescent="0.25">
      <c r="B669" s="50"/>
    </row>
    <row r="670" spans="2:2" ht="13.2" x14ac:dyDescent="0.25">
      <c r="B670" s="50"/>
    </row>
    <row r="671" spans="2:2" ht="13.2" x14ac:dyDescent="0.25">
      <c r="B671" s="50"/>
    </row>
    <row r="672" spans="2:2" ht="13.2" x14ac:dyDescent="0.25">
      <c r="B672" s="50"/>
    </row>
    <row r="673" spans="2:2" ht="13.2" x14ac:dyDescent="0.25">
      <c r="B673" s="50"/>
    </row>
    <row r="674" spans="2:2" ht="13.2" x14ac:dyDescent="0.25">
      <c r="B674" s="50"/>
    </row>
    <row r="675" spans="2:2" ht="13.2" x14ac:dyDescent="0.25">
      <c r="B675" s="50"/>
    </row>
    <row r="676" spans="2:2" ht="13.2" x14ac:dyDescent="0.25">
      <c r="B676" s="50"/>
    </row>
    <row r="677" spans="2:2" ht="13.2" x14ac:dyDescent="0.25">
      <c r="B677" s="50"/>
    </row>
    <row r="678" spans="2:2" ht="13.2" x14ac:dyDescent="0.25">
      <c r="B678" s="50"/>
    </row>
    <row r="679" spans="2:2" ht="13.2" x14ac:dyDescent="0.25">
      <c r="B679" s="50"/>
    </row>
    <row r="680" spans="2:2" ht="13.2" x14ac:dyDescent="0.25">
      <c r="B680" s="50"/>
    </row>
    <row r="681" spans="2:2" ht="13.2" x14ac:dyDescent="0.25">
      <c r="B681" s="50"/>
    </row>
    <row r="682" spans="2:2" ht="13.2" x14ac:dyDescent="0.25">
      <c r="B682" s="50"/>
    </row>
    <row r="683" spans="2:2" ht="13.2" x14ac:dyDescent="0.25">
      <c r="B683" s="50"/>
    </row>
    <row r="684" spans="2:2" ht="13.2" x14ac:dyDescent="0.25">
      <c r="B684" s="50"/>
    </row>
    <row r="685" spans="2:2" ht="13.2" x14ac:dyDescent="0.25">
      <c r="B685" s="50"/>
    </row>
    <row r="686" spans="2:2" ht="13.2" x14ac:dyDescent="0.25">
      <c r="B686" s="50"/>
    </row>
    <row r="687" spans="2:2" ht="13.2" x14ac:dyDescent="0.25">
      <c r="B687" s="50"/>
    </row>
    <row r="688" spans="2:2" ht="13.2" x14ac:dyDescent="0.25">
      <c r="B688" s="50"/>
    </row>
    <row r="689" spans="2:2" ht="13.2" x14ac:dyDescent="0.25">
      <c r="B689" s="50"/>
    </row>
    <row r="690" spans="2:2" ht="13.2" x14ac:dyDescent="0.25">
      <c r="B690" s="50"/>
    </row>
    <row r="691" spans="2:2" ht="13.2" x14ac:dyDescent="0.25">
      <c r="B691" s="50"/>
    </row>
    <row r="692" spans="2:2" ht="13.2" x14ac:dyDescent="0.25">
      <c r="B692" s="50"/>
    </row>
    <row r="693" spans="2:2" ht="13.2" x14ac:dyDescent="0.25">
      <c r="B693" s="50"/>
    </row>
    <row r="694" spans="2:2" ht="13.2" x14ac:dyDescent="0.25">
      <c r="B694" s="50"/>
    </row>
    <row r="695" spans="2:2" ht="13.2" x14ac:dyDescent="0.25">
      <c r="B695" s="50"/>
    </row>
    <row r="696" spans="2:2" ht="13.2" x14ac:dyDescent="0.25">
      <c r="B696" s="50"/>
    </row>
    <row r="697" spans="2:2" ht="13.2" x14ac:dyDescent="0.25">
      <c r="B697" s="50"/>
    </row>
    <row r="698" spans="2:2" ht="13.2" x14ac:dyDescent="0.25">
      <c r="B698" s="50"/>
    </row>
    <row r="699" spans="2:2" ht="13.2" x14ac:dyDescent="0.25">
      <c r="B699" s="50"/>
    </row>
    <row r="700" spans="2:2" ht="13.2" x14ac:dyDescent="0.25">
      <c r="B700" s="50"/>
    </row>
    <row r="701" spans="2:2" ht="13.2" x14ac:dyDescent="0.25">
      <c r="B701" s="50"/>
    </row>
    <row r="702" spans="2:2" ht="13.2" x14ac:dyDescent="0.25">
      <c r="B702" s="50"/>
    </row>
    <row r="703" spans="2:2" ht="13.2" x14ac:dyDescent="0.25">
      <c r="B703" s="50"/>
    </row>
    <row r="704" spans="2:2" ht="13.2" x14ac:dyDescent="0.25">
      <c r="B704" s="50"/>
    </row>
    <row r="705" spans="2:2" ht="13.2" x14ac:dyDescent="0.25">
      <c r="B705" s="50"/>
    </row>
    <row r="706" spans="2:2" ht="13.2" x14ac:dyDescent="0.25">
      <c r="B706" s="50"/>
    </row>
    <row r="707" spans="2:2" ht="13.2" x14ac:dyDescent="0.25">
      <c r="B707" s="50"/>
    </row>
    <row r="708" spans="2:2" ht="13.2" x14ac:dyDescent="0.25">
      <c r="B708" s="50"/>
    </row>
    <row r="709" spans="2:2" ht="13.2" x14ac:dyDescent="0.25">
      <c r="B709" s="50"/>
    </row>
    <row r="710" spans="2:2" ht="13.2" x14ac:dyDescent="0.25">
      <c r="B710" s="50"/>
    </row>
    <row r="711" spans="2:2" ht="13.2" x14ac:dyDescent="0.25">
      <c r="B711" s="50"/>
    </row>
    <row r="712" spans="2:2" ht="13.2" x14ac:dyDescent="0.25">
      <c r="B712" s="50"/>
    </row>
    <row r="713" spans="2:2" ht="13.2" x14ac:dyDescent="0.25">
      <c r="B713" s="50"/>
    </row>
    <row r="714" spans="2:2" ht="13.2" x14ac:dyDescent="0.25">
      <c r="B714" s="50"/>
    </row>
    <row r="715" spans="2:2" ht="13.2" x14ac:dyDescent="0.25">
      <c r="B715" s="50"/>
    </row>
    <row r="716" spans="2:2" ht="13.2" x14ac:dyDescent="0.25">
      <c r="B716" s="50"/>
    </row>
    <row r="717" spans="2:2" ht="13.2" x14ac:dyDescent="0.25">
      <c r="B717" s="50"/>
    </row>
    <row r="718" spans="2:2" ht="13.2" x14ac:dyDescent="0.25">
      <c r="B718" s="50"/>
    </row>
    <row r="719" spans="2:2" ht="13.2" x14ac:dyDescent="0.25">
      <c r="B719" s="50"/>
    </row>
    <row r="720" spans="2:2" ht="13.2" x14ac:dyDescent="0.25">
      <c r="B720" s="50"/>
    </row>
    <row r="721" spans="2:2" ht="13.2" x14ac:dyDescent="0.25">
      <c r="B721" s="50"/>
    </row>
    <row r="722" spans="2:2" ht="13.2" x14ac:dyDescent="0.25">
      <c r="B722" s="50"/>
    </row>
    <row r="723" spans="2:2" ht="13.2" x14ac:dyDescent="0.25">
      <c r="B723" s="50"/>
    </row>
    <row r="724" spans="2:2" ht="13.2" x14ac:dyDescent="0.25">
      <c r="B724" s="50"/>
    </row>
    <row r="725" spans="2:2" ht="13.2" x14ac:dyDescent="0.25">
      <c r="B725" s="50"/>
    </row>
    <row r="726" spans="2:2" ht="13.2" x14ac:dyDescent="0.25">
      <c r="B726" s="50"/>
    </row>
    <row r="727" spans="2:2" ht="13.2" x14ac:dyDescent="0.25">
      <c r="B727" s="50"/>
    </row>
    <row r="728" spans="2:2" ht="13.2" x14ac:dyDescent="0.25">
      <c r="B728" s="50"/>
    </row>
    <row r="729" spans="2:2" ht="13.2" x14ac:dyDescent="0.25">
      <c r="B729" s="50"/>
    </row>
    <row r="730" spans="2:2" ht="13.2" x14ac:dyDescent="0.25">
      <c r="B730" s="50"/>
    </row>
    <row r="731" spans="2:2" ht="13.2" x14ac:dyDescent="0.25">
      <c r="B731" s="50"/>
    </row>
    <row r="732" spans="2:2" ht="13.2" x14ac:dyDescent="0.25">
      <c r="B732" s="50"/>
    </row>
    <row r="733" spans="2:2" ht="13.2" x14ac:dyDescent="0.25">
      <c r="B733" s="50"/>
    </row>
    <row r="734" spans="2:2" ht="13.2" x14ac:dyDescent="0.25">
      <c r="B734" s="50"/>
    </row>
    <row r="735" spans="2:2" ht="13.2" x14ac:dyDescent="0.25">
      <c r="B735" s="50"/>
    </row>
    <row r="736" spans="2:2" ht="13.2" x14ac:dyDescent="0.25">
      <c r="B736" s="50"/>
    </row>
    <row r="737" spans="2:2" ht="13.2" x14ac:dyDescent="0.25">
      <c r="B737" s="50"/>
    </row>
    <row r="738" spans="2:2" ht="13.2" x14ac:dyDescent="0.25">
      <c r="B738" s="50"/>
    </row>
    <row r="739" spans="2:2" ht="13.2" x14ac:dyDescent="0.25">
      <c r="B739" s="50"/>
    </row>
    <row r="740" spans="2:2" ht="13.2" x14ac:dyDescent="0.25">
      <c r="B740" s="50"/>
    </row>
    <row r="741" spans="2:2" ht="13.2" x14ac:dyDescent="0.25">
      <c r="B741" s="50"/>
    </row>
    <row r="742" spans="2:2" ht="13.2" x14ac:dyDescent="0.25">
      <c r="B742" s="50"/>
    </row>
    <row r="743" spans="2:2" ht="13.2" x14ac:dyDescent="0.25">
      <c r="B743" s="50"/>
    </row>
    <row r="744" spans="2:2" ht="13.2" x14ac:dyDescent="0.25">
      <c r="B744" s="50"/>
    </row>
    <row r="745" spans="2:2" ht="13.2" x14ac:dyDescent="0.25">
      <c r="B745" s="50"/>
    </row>
    <row r="746" spans="2:2" ht="13.2" x14ac:dyDescent="0.25">
      <c r="B746" s="50"/>
    </row>
    <row r="747" spans="2:2" ht="13.2" x14ac:dyDescent="0.25">
      <c r="B747" s="50"/>
    </row>
    <row r="748" spans="2:2" ht="13.2" x14ac:dyDescent="0.25">
      <c r="B748" s="50"/>
    </row>
    <row r="749" spans="2:2" ht="13.2" x14ac:dyDescent="0.25">
      <c r="B749" s="50"/>
    </row>
    <row r="750" spans="2:2" ht="13.2" x14ac:dyDescent="0.25">
      <c r="B750" s="50"/>
    </row>
    <row r="751" spans="2:2" ht="13.2" x14ac:dyDescent="0.25">
      <c r="B751" s="50"/>
    </row>
    <row r="752" spans="2:2" ht="13.2" x14ac:dyDescent="0.25">
      <c r="B752" s="50"/>
    </row>
    <row r="753" spans="2:2" ht="13.2" x14ac:dyDescent="0.25">
      <c r="B753" s="50"/>
    </row>
    <row r="754" spans="2:2" ht="13.2" x14ac:dyDescent="0.25">
      <c r="B754" s="50"/>
    </row>
    <row r="755" spans="2:2" ht="13.2" x14ac:dyDescent="0.25">
      <c r="B755" s="50"/>
    </row>
    <row r="756" spans="2:2" ht="13.2" x14ac:dyDescent="0.25">
      <c r="B756" s="50"/>
    </row>
    <row r="757" spans="2:2" ht="13.2" x14ac:dyDescent="0.25">
      <c r="B757" s="50"/>
    </row>
    <row r="758" spans="2:2" ht="13.2" x14ac:dyDescent="0.25">
      <c r="B758" s="50"/>
    </row>
    <row r="759" spans="2:2" ht="13.2" x14ac:dyDescent="0.25">
      <c r="B759" s="50"/>
    </row>
    <row r="760" spans="2:2" ht="13.2" x14ac:dyDescent="0.25">
      <c r="B760" s="50"/>
    </row>
    <row r="761" spans="2:2" ht="13.2" x14ac:dyDescent="0.25">
      <c r="B761" s="50"/>
    </row>
    <row r="762" spans="2:2" ht="13.2" x14ac:dyDescent="0.25">
      <c r="B762" s="50"/>
    </row>
    <row r="763" spans="2:2" ht="13.2" x14ac:dyDescent="0.25">
      <c r="B763" s="50"/>
    </row>
    <row r="764" spans="2:2" ht="13.2" x14ac:dyDescent="0.25">
      <c r="B764" s="50"/>
    </row>
    <row r="765" spans="2:2" ht="13.2" x14ac:dyDescent="0.25">
      <c r="B765" s="50"/>
    </row>
    <row r="766" spans="2:2" ht="13.2" x14ac:dyDescent="0.25">
      <c r="B766" s="50"/>
    </row>
    <row r="767" spans="2:2" ht="13.2" x14ac:dyDescent="0.25">
      <c r="B767" s="50"/>
    </row>
    <row r="768" spans="2:2" ht="13.2" x14ac:dyDescent="0.25">
      <c r="B768" s="50"/>
    </row>
    <row r="769" spans="2:2" ht="13.2" x14ac:dyDescent="0.25">
      <c r="B769" s="50"/>
    </row>
    <row r="770" spans="2:2" ht="13.2" x14ac:dyDescent="0.25">
      <c r="B770" s="50"/>
    </row>
    <row r="771" spans="2:2" ht="13.2" x14ac:dyDescent="0.25">
      <c r="B771" s="50"/>
    </row>
    <row r="772" spans="2:2" ht="13.2" x14ac:dyDescent="0.25">
      <c r="B772" s="50"/>
    </row>
    <row r="773" spans="2:2" ht="13.2" x14ac:dyDescent="0.25">
      <c r="B773" s="50"/>
    </row>
    <row r="774" spans="2:2" ht="13.2" x14ac:dyDescent="0.25">
      <c r="B774" s="50"/>
    </row>
    <row r="775" spans="2:2" ht="13.2" x14ac:dyDescent="0.25">
      <c r="B775" s="50"/>
    </row>
    <row r="776" spans="2:2" ht="13.2" x14ac:dyDescent="0.25">
      <c r="B776" s="50"/>
    </row>
    <row r="777" spans="2:2" ht="13.2" x14ac:dyDescent="0.25">
      <c r="B777" s="50"/>
    </row>
    <row r="778" spans="2:2" ht="13.2" x14ac:dyDescent="0.25">
      <c r="B778" s="50"/>
    </row>
    <row r="779" spans="2:2" ht="13.2" x14ac:dyDescent="0.25">
      <c r="B779" s="50"/>
    </row>
    <row r="780" spans="2:2" ht="13.2" x14ac:dyDescent="0.25">
      <c r="B780" s="50"/>
    </row>
    <row r="781" spans="2:2" ht="13.2" x14ac:dyDescent="0.25">
      <c r="B781" s="50"/>
    </row>
    <row r="782" spans="2:2" ht="13.2" x14ac:dyDescent="0.25">
      <c r="B782" s="50"/>
    </row>
    <row r="783" spans="2:2" ht="13.2" x14ac:dyDescent="0.25">
      <c r="B783" s="50"/>
    </row>
    <row r="784" spans="2:2" ht="13.2" x14ac:dyDescent="0.25">
      <c r="B784" s="50"/>
    </row>
    <row r="785" spans="2:2" ht="13.2" x14ac:dyDescent="0.25">
      <c r="B785" s="50"/>
    </row>
    <row r="786" spans="2:2" ht="13.2" x14ac:dyDescent="0.25">
      <c r="B786" s="50"/>
    </row>
    <row r="787" spans="2:2" ht="13.2" x14ac:dyDescent="0.25">
      <c r="B787" s="50"/>
    </row>
    <row r="788" spans="2:2" ht="13.2" x14ac:dyDescent="0.25">
      <c r="B788" s="50"/>
    </row>
    <row r="789" spans="2:2" ht="13.2" x14ac:dyDescent="0.25">
      <c r="B789" s="50"/>
    </row>
    <row r="790" spans="2:2" ht="13.2" x14ac:dyDescent="0.25">
      <c r="B790" s="50"/>
    </row>
    <row r="791" spans="2:2" ht="13.2" x14ac:dyDescent="0.25">
      <c r="B791" s="50"/>
    </row>
    <row r="792" spans="2:2" ht="13.2" x14ac:dyDescent="0.25">
      <c r="B792" s="50"/>
    </row>
    <row r="793" spans="2:2" ht="13.2" x14ac:dyDescent="0.25">
      <c r="B793" s="50"/>
    </row>
    <row r="794" spans="2:2" ht="13.2" x14ac:dyDescent="0.25">
      <c r="B794" s="50"/>
    </row>
    <row r="795" spans="2:2" ht="13.2" x14ac:dyDescent="0.25">
      <c r="B795" s="50"/>
    </row>
    <row r="796" spans="2:2" ht="13.2" x14ac:dyDescent="0.25">
      <c r="B796" s="50"/>
    </row>
    <row r="797" spans="2:2" ht="13.2" x14ac:dyDescent="0.25">
      <c r="B797" s="50"/>
    </row>
    <row r="798" spans="2:2" ht="13.2" x14ac:dyDescent="0.25">
      <c r="B798" s="50"/>
    </row>
    <row r="799" spans="2:2" ht="13.2" x14ac:dyDescent="0.25">
      <c r="B799" s="50"/>
    </row>
    <row r="800" spans="2:2" ht="13.2" x14ac:dyDescent="0.25">
      <c r="B800" s="50"/>
    </row>
    <row r="801" spans="2:2" ht="13.2" x14ac:dyDescent="0.25">
      <c r="B801" s="50"/>
    </row>
    <row r="802" spans="2:2" ht="13.2" x14ac:dyDescent="0.25">
      <c r="B802" s="50"/>
    </row>
    <row r="803" spans="2:2" ht="13.2" x14ac:dyDescent="0.25">
      <c r="B803" s="50"/>
    </row>
    <row r="804" spans="2:2" ht="13.2" x14ac:dyDescent="0.25">
      <c r="B804" s="50"/>
    </row>
    <row r="805" spans="2:2" ht="13.2" x14ac:dyDescent="0.25">
      <c r="B805" s="50"/>
    </row>
    <row r="806" spans="2:2" ht="13.2" x14ac:dyDescent="0.25">
      <c r="B806" s="50"/>
    </row>
    <row r="807" spans="2:2" ht="13.2" x14ac:dyDescent="0.25">
      <c r="B807" s="50"/>
    </row>
    <row r="808" spans="2:2" ht="13.2" x14ac:dyDescent="0.25">
      <c r="B808" s="50"/>
    </row>
    <row r="809" spans="2:2" ht="13.2" x14ac:dyDescent="0.25">
      <c r="B809" s="50"/>
    </row>
    <row r="810" spans="2:2" ht="13.2" x14ac:dyDescent="0.25">
      <c r="B810" s="50"/>
    </row>
    <row r="811" spans="2:2" ht="13.2" x14ac:dyDescent="0.25">
      <c r="B811" s="50"/>
    </row>
    <row r="812" spans="2:2" ht="13.2" x14ac:dyDescent="0.25">
      <c r="B812" s="50"/>
    </row>
    <row r="813" spans="2:2" ht="13.2" x14ac:dyDescent="0.25">
      <c r="B813" s="50"/>
    </row>
    <row r="814" spans="2:2" ht="13.2" x14ac:dyDescent="0.25">
      <c r="B814" s="50"/>
    </row>
    <row r="815" spans="2:2" ht="13.2" x14ac:dyDescent="0.25">
      <c r="B815" s="50"/>
    </row>
    <row r="816" spans="2:2" ht="13.2" x14ac:dyDescent="0.25">
      <c r="B816" s="50"/>
    </row>
    <row r="817" spans="2:2" ht="13.2" x14ac:dyDescent="0.25">
      <c r="B817" s="50"/>
    </row>
    <row r="818" spans="2:2" ht="13.2" x14ac:dyDescent="0.25">
      <c r="B818" s="50"/>
    </row>
    <row r="819" spans="2:2" ht="13.2" x14ac:dyDescent="0.25">
      <c r="B819" s="50"/>
    </row>
    <row r="820" spans="2:2" ht="13.2" x14ac:dyDescent="0.25">
      <c r="B820" s="50"/>
    </row>
    <row r="821" spans="2:2" ht="13.2" x14ac:dyDescent="0.25">
      <c r="B821" s="50"/>
    </row>
    <row r="822" spans="2:2" ht="13.2" x14ac:dyDescent="0.25">
      <c r="B822" s="50"/>
    </row>
    <row r="823" spans="2:2" ht="13.2" x14ac:dyDescent="0.25">
      <c r="B823" s="50"/>
    </row>
    <row r="824" spans="2:2" ht="13.2" x14ac:dyDescent="0.25">
      <c r="B824" s="50"/>
    </row>
    <row r="825" spans="2:2" ht="13.2" x14ac:dyDescent="0.25">
      <c r="B825" s="50"/>
    </row>
    <row r="826" spans="2:2" ht="13.2" x14ac:dyDescent="0.25">
      <c r="B826" s="50"/>
    </row>
    <row r="827" spans="2:2" ht="13.2" x14ac:dyDescent="0.25">
      <c r="B827" s="50"/>
    </row>
    <row r="828" spans="2:2" ht="13.2" x14ac:dyDescent="0.25">
      <c r="B828" s="50"/>
    </row>
    <row r="829" spans="2:2" ht="13.2" x14ac:dyDescent="0.25">
      <c r="B829" s="50"/>
    </row>
    <row r="830" spans="2:2" ht="13.2" x14ac:dyDescent="0.25">
      <c r="B830" s="50"/>
    </row>
    <row r="831" spans="2:2" ht="13.2" x14ac:dyDescent="0.25">
      <c r="B831" s="50"/>
    </row>
    <row r="832" spans="2:2" ht="13.2" x14ac:dyDescent="0.25">
      <c r="B832" s="50"/>
    </row>
    <row r="833" spans="2:2" ht="13.2" x14ac:dyDescent="0.25">
      <c r="B833" s="50"/>
    </row>
    <row r="834" spans="2:2" ht="13.2" x14ac:dyDescent="0.25">
      <c r="B834" s="50"/>
    </row>
    <row r="835" spans="2:2" ht="13.2" x14ac:dyDescent="0.25">
      <c r="B835" s="50"/>
    </row>
    <row r="836" spans="2:2" ht="13.2" x14ac:dyDescent="0.25">
      <c r="B836" s="50"/>
    </row>
    <row r="837" spans="2:2" ht="13.2" x14ac:dyDescent="0.25">
      <c r="B837" s="50"/>
    </row>
    <row r="838" spans="2:2" ht="13.2" x14ac:dyDescent="0.25">
      <c r="B838" s="50"/>
    </row>
    <row r="839" spans="2:2" ht="13.2" x14ac:dyDescent="0.25">
      <c r="B839" s="50"/>
    </row>
    <row r="840" spans="2:2" ht="13.2" x14ac:dyDescent="0.25">
      <c r="B840" s="50"/>
    </row>
    <row r="841" spans="2:2" ht="13.2" x14ac:dyDescent="0.25">
      <c r="B841" s="50"/>
    </row>
    <row r="842" spans="2:2" ht="13.2" x14ac:dyDescent="0.25">
      <c r="B842" s="50"/>
    </row>
    <row r="843" spans="2:2" ht="13.2" x14ac:dyDescent="0.25">
      <c r="B843" s="50"/>
    </row>
    <row r="844" spans="2:2" ht="13.2" x14ac:dyDescent="0.25">
      <c r="B844" s="50"/>
    </row>
    <row r="845" spans="2:2" ht="13.2" x14ac:dyDescent="0.25">
      <c r="B845" s="50"/>
    </row>
    <row r="846" spans="2:2" ht="13.2" x14ac:dyDescent="0.25">
      <c r="B846" s="50"/>
    </row>
    <row r="847" spans="2:2" ht="13.2" x14ac:dyDescent="0.25">
      <c r="B847" s="50"/>
    </row>
    <row r="848" spans="2:2" ht="13.2" x14ac:dyDescent="0.25">
      <c r="B848" s="50"/>
    </row>
    <row r="849" spans="2:2" ht="13.2" x14ac:dyDescent="0.25">
      <c r="B849" s="50"/>
    </row>
    <row r="850" spans="2:2" ht="13.2" x14ac:dyDescent="0.25">
      <c r="B850" s="50"/>
    </row>
    <row r="851" spans="2:2" ht="13.2" x14ac:dyDescent="0.25">
      <c r="B851" s="50"/>
    </row>
    <row r="852" spans="2:2" ht="13.2" x14ac:dyDescent="0.25">
      <c r="B852" s="50"/>
    </row>
    <row r="853" spans="2:2" ht="13.2" x14ac:dyDescent="0.25">
      <c r="B853" s="50"/>
    </row>
    <row r="854" spans="2:2" ht="13.2" x14ac:dyDescent="0.25">
      <c r="B854" s="50"/>
    </row>
    <row r="855" spans="2:2" ht="13.2" x14ac:dyDescent="0.25">
      <c r="B855" s="50"/>
    </row>
    <row r="856" spans="2:2" ht="13.2" x14ac:dyDescent="0.25">
      <c r="B856" s="50"/>
    </row>
    <row r="857" spans="2:2" ht="13.2" x14ac:dyDescent="0.25">
      <c r="B857" s="50"/>
    </row>
    <row r="858" spans="2:2" ht="13.2" x14ac:dyDescent="0.25">
      <c r="B858" s="50"/>
    </row>
    <row r="859" spans="2:2" ht="13.2" x14ac:dyDescent="0.25">
      <c r="B859" s="50"/>
    </row>
    <row r="860" spans="2:2" ht="13.2" x14ac:dyDescent="0.25">
      <c r="B860" s="50"/>
    </row>
    <row r="861" spans="2:2" ht="13.2" x14ac:dyDescent="0.25">
      <c r="B861" s="50"/>
    </row>
    <row r="862" spans="2:2" ht="13.2" x14ac:dyDescent="0.25">
      <c r="B862" s="50"/>
    </row>
    <row r="863" spans="2:2" ht="13.2" x14ac:dyDescent="0.25">
      <c r="B863" s="50"/>
    </row>
    <row r="864" spans="2:2" ht="13.2" x14ac:dyDescent="0.25">
      <c r="B864" s="50"/>
    </row>
    <row r="865" spans="2:2" ht="13.2" x14ac:dyDescent="0.25">
      <c r="B865" s="50"/>
    </row>
    <row r="866" spans="2:2" ht="13.2" x14ac:dyDescent="0.25">
      <c r="B866" s="50"/>
    </row>
    <row r="867" spans="2:2" ht="13.2" x14ac:dyDescent="0.25">
      <c r="B867" s="50"/>
    </row>
    <row r="868" spans="2:2" ht="13.2" x14ac:dyDescent="0.25">
      <c r="B868" s="50"/>
    </row>
    <row r="869" spans="2:2" ht="13.2" x14ac:dyDescent="0.25">
      <c r="B869" s="50"/>
    </row>
    <row r="870" spans="2:2" ht="13.2" x14ac:dyDescent="0.25">
      <c r="B870" s="50"/>
    </row>
    <row r="871" spans="2:2" ht="13.2" x14ac:dyDescent="0.25">
      <c r="B871" s="50"/>
    </row>
    <row r="872" spans="2:2" ht="13.2" x14ac:dyDescent="0.25">
      <c r="B872" s="50"/>
    </row>
    <row r="873" spans="2:2" ht="13.2" x14ac:dyDescent="0.25">
      <c r="B873" s="50"/>
    </row>
    <row r="874" spans="2:2" ht="13.2" x14ac:dyDescent="0.25">
      <c r="B874" s="50"/>
    </row>
    <row r="875" spans="2:2" ht="13.2" x14ac:dyDescent="0.25">
      <c r="B875" s="50"/>
    </row>
    <row r="876" spans="2:2" ht="13.2" x14ac:dyDescent="0.25">
      <c r="B876" s="50"/>
    </row>
    <row r="877" spans="2:2" ht="13.2" x14ac:dyDescent="0.25">
      <c r="B877" s="50"/>
    </row>
    <row r="878" spans="2:2" ht="13.2" x14ac:dyDescent="0.25">
      <c r="B878" s="50"/>
    </row>
    <row r="879" spans="2:2" ht="13.2" x14ac:dyDescent="0.25">
      <c r="B879" s="50"/>
    </row>
    <row r="880" spans="2:2" ht="13.2" x14ac:dyDescent="0.25">
      <c r="B880" s="50"/>
    </row>
    <row r="881" spans="2:2" ht="13.2" x14ac:dyDescent="0.25">
      <c r="B881" s="50"/>
    </row>
    <row r="882" spans="2:2" ht="13.2" x14ac:dyDescent="0.25">
      <c r="B882" s="50"/>
    </row>
    <row r="883" spans="2:2" ht="13.2" x14ac:dyDescent="0.25">
      <c r="B883" s="50"/>
    </row>
    <row r="884" spans="2:2" ht="13.2" x14ac:dyDescent="0.25">
      <c r="B884" s="50"/>
    </row>
    <row r="885" spans="2:2" ht="13.2" x14ac:dyDescent="0.25">
      <c r="B885" s="50"/>
    </row>
    <row r="886" spans="2:2" ht="13.2" x14ac:dyDescent="0.25">
      <c r="B886" s="50"/>
    </row>
    <row r="887" spans="2:2" ht="13.2" x14ac:dyDescent="0.25">
      <c r="B887" s="50"/>
    </row>
    <row r="888" spans="2:2" ht="13.2" x14ac:dyDescent="0.25">
      <c r="B888" s="50"/>
    </row>
    <row r="889" spans="2:2" ht="13.2" x14ac:dyDescent="0.25">
      <c r="B889" s="50"/>
    </row>
    <row r="890" spans="2:2" ht="13.2" x14ac:dyDescent="0.25">
      <c r="B890" s="50"/>
    </row>
    <row r="891" spans="2:2" ht="13.2" x14ac:dyDescent="0.25">
      <c r="B891" s="50"/>
    </row>
    <row r="892" spans="2:2" ht="13.2" x14ac:dyDescent="0.25">
      <c r="B892" s="50"/>
    </row>
    <row r="893" spans="2:2" ht="13.2" x14ac:dyDescent="0.25">
      <c r="B893" s="50"/>
    </row>
    <row r="894" spans="2:2" ht="13.2" x14ac:dyDescent="0.25">
      <c r="B894" s="50"/>
    </row>
    <row r="895" spans="2:2" ht="13.2" x14ac:dyDescent="0.25">
      <c r="B895" s="50"/>
    </row>
    <row r="896" spans="2:2" ht="13.2" x14ac:dyDescent="0.25">
      <c r="B896" s="50"/>
    </row>
    <row r="897" spans="2:2" ht="13.2" x14ac:dyDescent="0.25">
      <c r="B897" s="50"/>
    </row>
    <row r="898" spans="2:2" ht="13.2" x14ac:dyDescent="0.25">
      <c r="B898" s="50"/>
    </row>
    <row r="899" spans="2:2" ht="13.2" x14ac:dyDescent="0.25">
      <c r="B899" s="50"/>
    </row>
    <row r="900" spans="2:2" ht="13.2" x14ac:dyDescent="0.25">
      <c r="B900" s="50"/>
    </row>
    <row r="901" spans="2:2" ht="13.2" x14ac:dyDescent="0.25">
      <c r="B901" s="50"/>
    </row>
    <row r="902" spans="2:2" ht="13.2" x14ac:dyDescent="0.25">
      <c r="B902" s="50"/>
    </row>
    <row r="903" spans="2:2" ht="13.2" x14ac:dyDescent="0.25">
      <c r="B903" s="50"/>
    </row>
    <row r="904" spans="2:2" ht="13.2" x14ac:dyDescent="0.25">
      <c r="B904" s="50"/>
    </row>
    <row r="905" spans="2:2" ht="13.2" x14ac:dyDescent="0.25">
      <c r="B905" s="50"/>
    </row>
    <row r="906" spans="2:2" ht="13.2" x14ac:dyDescent="0.25">
      <c r="B906" s="50"/>
    </row>
    <row r="907" spans="2:2" ht="13.2" x14ac:dyDescent="0.25">
      <c r="B907" s="50"/>
    </row>
    <row r="908" spans="2:2" ht="13.2" x14ac:dyDescent="0.25">
      <c r="B908" s="50"/>
    </row>
    <row r="909" spans="2:2" ht="13.2" x14ac:dyDescent="0.25">
      <c r="B909" s="50"/>
    </row>
    <row r="910" spans="2:2" ht="13.2" x14ac:dyDescent="0.25">
      <c r="B910" s="50"/>
    </row>
    <row r="911" spans="2:2" ht="13.2" x14ac:dyDescent="0.25">
      <c r="B911" s="50"/>
    </row>
    <row r="912" spans="2:2" ht="13.2" x14ac:dyDescent="0.25">
      <c r="B912" s="50"/>
    </row>
    <row r="913" spans="2:2" ht="13.2" x14ac:dyDescent="0.25">
      <c r="B913" s="50"/>
    </row>
    <row r="914" spans="2:2" ht="13.2" x14ac:dyDescent="0.25">
      <c r="B914" s="50"/>
    </row>
    <row r="915" spans="2:2" ht="13.2" x14ac:dyDescent="0.25">
      <c r="B915" s="50"/>
    </row>
    <row r="916" spans="2:2" ht="13.2" x14ac:dyDescent="0.25">
      <c r="B916" s="50"/>
    </row>
    <row r="917" spans="2:2" ht="13.2" x14ac:dyDescent="0.25">
      <c r="B917" s="50"/>
    </row>
    <row r="918" spans="2:2" ht="13.2" x14ac:dyDescent="0.25">
      <c r="B918" s="50"/>
    </row>
    <row r="919" spans="2:2" ht="13.2" x14ac:dyDescent="0.25">
      <c r="B919" s="50"/>
    </row>
    <row r="920" spans="2:2" ht="13.2" x14ac:dyDescent="0.25">
      <c r="B920" s="50"/>
    </row>
    <row r="921" spans="2:2" ht="13.2" x14ac:dyDescent="0.25">
      <c r="B921" s="50"/>
    </row>
    <row r="922" spans="2:2" ht="13.2" x14ac:dyDescent="0.25">
      <c r="B922" s="50"/>
    </row>
    <row r="923" spans="2:2" ht="13.2" x14ac:dyDescent="0.25">
      <c r="B923" s="50"/>
    </row>
    <row r="924" spans="2:2" ht="13.2" x14ac:dyDescent="0.25">
      <c r="B924" s="50"/>
    </row>
    <row r="925" spans="2:2" ht="13.2" x14ac:dyDescent="0.25">
      <c r="B925" s="50"/>
    </row>
    <row r="926" spans="2:2" ht="13.2" x14ac:dyDescent="0.25">
      <c r="B926" s="50"/>
    </row>
    <row r="927" spans="2:2" ht="13.2" x14ac:dyDescent="0.25">
      <c r="B927" s="50"/>
    </row>
    <row r="928" spans="2:2" ht="13.2" x14ac:dyDescent="0.25">
      <c r="B928" s="50"/>
    </row>
    <row r="929" spans="2:2" ht="13.2" x14ac:dyDescent="0.25">
      <c r="B929" s="50"/>
    </row>
    <row r="930" spans="2:2" ht="13.2" x14ac:dyDescent="0.25">
      <c r="B930" s="50"/>
    </row>
    <row r="931" spans="2:2" ht="13.2" x14ac:dyDescent="0.25">
      <c r="B931" s="50"/>
    </row>
    <row r="932" spans="2:2" ht="13.2" x14ac:dyDescent="0.25">
      <c r="B932" s="50"/>
    </row>
    <row r="933" spans="2:2" ht="13.2" x14ac:dyDescent="0.25">
      <c r="B933" s="50"/>
    </row>
    <row r="934" spans="2:2" ht="13.2" x14ac:dyDescent="0.25">
      <c r="B934" s="50"/>
    </row>
    <row r="935" spans="2:2" ht="13.2" x14ac:dyDescent="0.25">
      <c r="B935" s="50"/>
    </row>
    <row r="936" spans="2:2" ht="13.2" x14ac:dyDescent="0.25">
      <c r="B936" s="50"/>
    </row>
    <row r="937" spans="2:2" ht="13.2" x14ac:dyDescent="0.25">
      <c r="B937" s="50"/>
    </row>
    <row r="938" spans="2:2" ht="13.2" x14ac:dyDescent="0.25">
      <c r="B938" s="50"/>
    </row>
    <row r="939" spans="2:2" ht="13.2" x14ac:dyDescent="0.25">
      <c r="B939" s="50"/>
    </row>
    <row r="940" spans="2:2" ht="13.2" x14ac:dyDescent="0.25">
      <c r="B940" s="50"/>
    </row>
    <row r="941" spans="2:2" ht="13.2" x14ac:dyDescent="0.25">
      <c r="B941" s="50"/>
    </row>
    <row r="942" spans="2:2" ht="13.2" x14ac:dyDescent="0.25">
      <c r="B942" s="50"/>
    </row>
    <row r="943" spans="2:2" ht="13.2" x14ac:dyDescent="0.25">
      <c r="B943" s="50"/>
    </row>
    <row r="944" spans="2:2" ht="13.2" x14ac:dyDescent="0.25">
      <c r="B944" s="50"/>
    </row>
    <row r="945" spans="2:2" ht="13.2" x14ac:dyDescent="0.25">
      <c r="B945" s="50"/>
    </row>
    <row r="946" spans="2:2" ht="13.2" x14ac:dyDescent="0.25">
      <c r="B946" s="50"/>
    </row>
    <row r="947" spans="2:2" ht="13.2" x14ac:dyDescent="0.25">
      <c r="B947" s="50"/>
    </row>
    <row r="948" spans="2:2" ht="13.2" x14ac:dyDescent="0.25">
      <c r="B948" s="50"/>
    </row>
    <row r="949" spans="2:2" ht="13.2" x14ac:dyDescent="0.25">
      <c r="B949" s="50"/>
    </row>
    <row r="950" spans="2:2" ht="13.2" x14ac:dyDescent="0.25">
      <c r="B950" s="50"/>
    </row>
    <row r="951" spans="2:2" ht="13.2" x14ac:dyDescent="0.25">
      <c r="B951" s="50"/>
    </row>
    <row r="952" spans="2:2" ht="13.2" x14ac:dyDescent="0.25">
      <c r="B952" s="50"/>
    </row>
    <row r="953" spans="2:2" ht="13.2" x14ac:dyDescent="0.25">
      <c r="B953" s="50"/>
    </row>
    <row r="954" spans="2:2" ht="13.2" x14ac:dyDescent="0.25">
      <c r="B954" s="50"/>
    </row>
    <row r="955" spans="2:2" ht="13.2" x14ac:dyDescent="0.25">
      <c r="B955" s="50"/>
    </row>
    <row r="956" spans="2:2" ht="13.2" x14ac:dyDescent="0.25">
      <c r="B956" s="50"/>
    </row>
    <row r="957" spans="2:2" ht="13.2" x14ac:dyDescent="0.25">
      <c r="B957" s="50"/>
    </row>
    <row r="958" spans="2:2" ht="13.2" x14ac:dyDescent="0.25">
      <c r="B958" s="50"/>
    </row>
    <row r="959" spans="2:2" ht="13.2" x14ac:dyDescent="0.25">
      <c r="B959" s="50"/>
    </row>
    <row r="960" spans="2:2" ht="13.2" x14ac:dyDescent="0.25">
      <c r="B960" s="50"/>
    </row>
    <row r="961" spans="2:2" ht="13.2" x14ac:dyDescent="0.25">
      <c r="B961" s="50"/>
    </row>
    <row r="962" spans="2:2" ht="13.2" x14ac:dyDescent="0.25">
      <c r="B962" s="50"/>
    </row>
    <row r="963" spans="2:2" ht="13.2" x14ac:dyDescent="0.25">
      <c r="B963" s="50"/>
    </row>
    <row r="964" spans="2:2" ht="13.2" x14ac:dyDescent="0.25">
      <c r="B964" s="50"/>
    </row>
    <row r="965" spans="2:2" ht="13.2" x14ac:dyDescent="0.25">
      <c r="B965" s="50"/>
    </row>
    <row r="966" spans="2:2" ht="13.2" x14ac:dyDescent="0.25">
      <c r="B966" s="50"/>
    </row>
    <row r="967" spans="2:2" ht="13.2" x14ac:dyDescent="0.25">
      <c r="B967" s="50"/>
    </row>
    <row r="968" spans="2:2" ht="13.2" x14ac:dyDescent="0.25">
      <c r="B968" s="50"/>
    </row>
    <row r="969" spans="2:2" ht="13.2" x14ac:dyDescent="0.25">
      <c r="B969" s="50"/>
    </row>
    <row r="970" spans="2:2" ht="13.2" x14ac:dyDescent="0.25">
      <c r="B970" s="50"/>
    </row>
    <row r="971" spans="2:2" ht="13.2" x14ac:dyDescent="0.25">
      <c r="B971" s="50"/>
    </row>
    <row r="972" spans="2:2" ht="13.2" x14ac:dyDescent="0.25">
      <c r="B972" s="50"/>
    </row>
    <row r="973" spans="2:2" ht="13.2" x14ac:dyDescent="0.25">
      <c r="B973" s="50"/>
    </row>
    <row r="974" spans="2:2" ht="13.2" x14ac:dyDescent="0.25">
      <c r="B974" s="50"/>
    </row>
    <row r="975" spans="2:2" ht="13.2" x14ac:dyDescent="0.25">
      <c r="B975" s="50"/>
    </row>
    <row r="976" spans="2:2" ht="13.2" x14ac:dyDescent="0.25">
      <c r="B976" s="50"/>
    </row>
    <row r="977" spans="2:2" ht="13.2" x14ac:dyDescent="0.25">
      <c r="B977" s="50"/>
    </row>
    <row r="978" spans="2:2" ht="13.2" x14ac:dyDescent="0.25">
      <c r="B978" s="50"/>
    </row>
    <row r="979" spans="2:2" ht="13.2" x14ac:dyDescent="0.25">
      <c r="B979" s="50"/>
    </row>
    <row r="980" spans="2:2" ht="13.2" x14ac:dyDescent="0.25">
      <c r="B980" s="50"/>
    </row>
    <row r="981" spans="2:2" ht="13.2" x14ac:dyDescent="0.25">
      <c r="B981" s="50"/>
    </row>
    <row r="982" spans="2:2" ht="13.2" x14ac:dyDescent="0.25">
      <c r="B982" s="50"/>
    </row>
    <row r="983" spans="2:2" ht="13.2" x14ac:dyDescent="0.25">
      <c r="B983" s="50"/>
    </row>
    <row r="984" spans="2:2" ht="13.2" x14ac:dyDescent="0.25">
      <c r="B984" s="50"/>
    </row>
    <row r="985" spans="2:2" ht="13.2" x14ac:dyDescent="0.25">
      <c r="B985" s="50"/>
    </row>
    <row r="986" spans="2:2" ht="13.2" x14ac:dyDescent="0.25">
      <c r="B986" s="50"/>
    </row>
    <row r="987" spans="2:2" ht="13.2" x14ac:dyDescent="0.25">
      <c r="B987" s="50"/>
    </row>
    <row r="988" spans="2:2" ht="13.2" x14ac:dyDescent="0.25">
      <c r="B988" s="50"/>
    </row>
    <row r="989" spans="2:2" ht="13.2" x14ac:dyDescent="0.25">
      <c r="B989" s="50"/>
    </row>
    <row r="990" spans="2:2" ht="13.2" x14ac:dyDescent="0.25">
      <c r="B990" s="50"/>
    </row>
    <row r="991" spans="2:2" ht="13.2" x14ac:dyDescent="0.25">
      <c r="B991" s="50"/>
    </row>
    <row r="992" spans="2:2" ht="13.2" x14ac:dyDescent="0.25">
      <c r="B992" s="50"/>
    </row>
    <row r="993" spans="2:2" ht="13.2" x14ac:dyDescent="0.25">
      <c r="B993" s="50"/>
    </row>
    <row r="994" spans="2:2" ht="13.2" x14ac:dyDescent="0.25">
      <c r="B994" s="50"/>
    </row>
    <row r="995" spans="2:2" ht="13.2" x14ac:dyDescent="0.25">
      <c r="B995" s="50"/>
    </row>
    <row r="996" spans="2:2" ht="13.2" x14ac:dyDescent="0.25">
      <c r="B996" s="50"/>
    </row>
    <row r="997" spans="2:2" ht="13.2" x14ac:dyDescent="0.25">
      <c r="B997" s="50"/>
    </row>
    <row r="998" spans="2:2" ht="13.2" x14ac:dyDescent="0.25">
      <c r="B998" s="50"/>
    </row>
    <row r="999" spans="2:2" ht="13.2" x14ac:dyDescent="0.25">
      <c r="B999" s="50"/>
    </row>
    <row r="1000" spans="2:2" ht="13.2" x14ac:dyDescent="0.25">
      <c r="B1000" s="50"/>
    </row>
    <row r="1001" spans="2:2" ht="13.2" x14ac:dyDescent="0.25">
      <c r="B1001" s="50"/>
    </row>
    <row r="1002" spans="2:2" ht="13.2" x14ac:dyDescent="0.25">
      <c r="B1002" s="50"/>
    </row>
    <row r="1003" spans="2:2" ht="13.2" x14ac:dyDescent="0.25">
      <c r="B1003" s="50"/>
    </row>
    <row r="1004" spans="2:2" ht="13.2" x14ac:dyDescent="0.25">
      <c r="B1004" s="50"/>
    </row>
  </sheetData>
  <mergeCells count="36">
    <mergeCell ref="L7:L8"/>
    <mergeCell ref="M7:M8"/>
    <mergeCell ref="L9:L10"/>
    <mergeCell ref="N9:N10"/>
    <mergeCell ref="B1:F1"/>
    <mergeCell ref="H1:J1"/>
    <mergeCell ref="A2:A6"/>
    <mergeCell ref="E2:F2"/>
    <mergeCell ref="E4:F4"/>
    <mergeCell ref="E5:F5"/>
    <mergeCell ref="H21:H22"/>
    <mergeCell ref="B22:C22"/>
    <mergeCell ref="B24:P24"/>
    <mergeCell ref="E6:F6"/>
    <mergeCell ref="B11:F11"/>
    <mergeCell ref="H16:H17"/>
    <mergeCell ref="E15:F15"/>
    <mergeCell ref="B17:F17"/>
    <mergeCell ref="B18:C18"/>
    <mergeCell ref="E14:G14"/>
    <mergeCell ref="L11:N11"/>
    <mergeCell ref="A12:A172"/>
    <mergeCell ref="C13:C15"/>
    <mergeCell ref="E13:F13"/>
    <mergeCell ref="B14:B15"/>
    <mergeCell ref="B27:C27"/>
    <mergeCell ref="F65:H65"/>
    <mergeCell ref="B71:R71"/>
    <mergeCell ref="B21:C21"/>
    <mergeCell ref="B26:C26"/>
    <mergeCell ref="G26:H26"/>
    <mergeCell ref="G27:H27"/>
    <mergeCell ref="B30:J30"/>
    <mergeCell ref="K30:P30"/>
    <mergeCell ref="B58:P58"/>
    <mergeCell ref="B19:C20"/>
  </mergeCells>
  <conditionalFormatting sqref="E13:F13">
    <cfRule type="expression" dxfId="2" priority="1">
      <formula>B14&lt;0.3</formula>
    </cfRule>
  </conditionalFormatting>
  <conditionalFormatting sqref="E14">
    <cfRule type="expression" dxfId="1" priority="2">
      <formula>AND(B14&lt;1,B14&gt;0.3)</formula>
    </cfRule>
  </conditionalFormatting>
  <conditionalFormatting sqref="E15:F15">
    <cfRule type="expression" dxfId="0" priority="3">
      <formula>B14&gt;1</formula>
    </cfRule>
  </conditionalFormatting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706F9-B281-49F9-950D-80049685EAB5}">
  <dimension ref="A1"/>
  <sheetViews>
    <sheetView workbookViewId="0">
      <selection activeCell="D12" sqref="D12"/>
    </sheetView>
  </sheetViews>
  <sheetFormatPr baseColWidth="10" defaultRowHeight="13.2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5"/>
  <sheetViews>
    <sheetView workbookViewId="0">
      <selection activeCell="E13" sqref="E13"/>
    </sheetView>
  </sheetViews>
  <sheetFormatPr baseColWidth="10" defaultColWidth="14.44140625" defaultRowHeight="15.75" customHeight="1" x14ac:dyDescent="0.25"/>
  <sheetData>
    <row r="1" spans="1:26" ht="15.75" customHeight="1" x14ac:dyDescent="0.25">
      <c r="A1" s="53" t="s">
        <v>95</v>
      </c>
      <c r="B1" s="54">
        <v>10</v>
      </c>
      <c r="C1" s="54">
        <v>20</v>
      </c>
      <c r="D1" s="54">
        <v>30</v>
      </c>
      <c r="E1" s="54">
        <v>40</v>
      </c>
      <c r="F1" s="54">
        <v>50</v>
      </c>
      <c r="G1" s="54">
        <v>60</v>
      </c>
      <c r="H1" s="54"/>
      <c r="I1" s="54"/>
      <c r="J1" s="54"/>
      <c r="K1" s="54"/>
    </row>
    <row r="2" spans="1:26" ht="15.75" customHeight="1" x14ac:dyDescent="0.25">
      <c r="A2" s="53" t="s">
        <v>96</v>
      </c>
      <c r="B2" s="54">
        <v>2.2000000000000002</v>
      </c>
      <c r="C2" s="54">
        <v>6</v>
      </c>
      <c r="D2" s="54">
        <v>11.1</v>
      </c>
      <c r="E2" s="54">
        <v>4.5999999999999996</v>
      </c>
      <c r="F2" s="54">
        <v>3.3</v>
      </c>
      <c r="G2" s="54">
        <v>1.8</v>
      </c>
      <c r="H2" s="54"/>
      <c r="I2" s="54"/>
      <c r="J2" s="54"/>
      <c r="K2" s="54"/>
      <c r="M2" s="55" t="s">
        <v>20</v>
      </c>
      <c r="N2" s="55">
        <v>78</v>
      </c>
    </row>
    <row r="3" spans="1:26" ht="15.75" customHeight="1" x14ac:dyDescent="0.25">
      <c r="A3" s="56" t="s">
        <v>97</v>
      </c>
      <c r="B3" s="57">
        <f>B2</f>
        <v>2.2000000000000002</v>
      </c>
      <c r="C3" s="57">
        <f t="shared" ref="C3:K3" si="0">B3+C2</f>
        <v>8.1999999999999993</v>
      </c>
      <c r="D3" s="57">
        <f t="shared" si="0"/>
        <v>19.299999999999997</v>
      </c>
      <c r="E3" s="57">
        <f t="shared" si="0"/>
        <v>23.9</v>
      </c>
      <c r="F3" s="57">
        <f t="shared" si="0"/>
        <v>27.2</v>
      </c>
      <c r="G3" s="57">
        <f t="shared" si="0"/>
        <v>29</v>
      </c>
      <c r="H3" s="57">
        <f t="shared" si="0"/>
        <v>29</v>
      </c>
      <c r="I3" s="57">
        <f t="shared" si="0"/>
        <v>29</v>
      </c>
      <c r="J3" s="57">
        <f t="shared" si="0"/>
        <v>29</v>
      </c>
      <c r="K3" s="57">
        <f t="shared" si="0"/>
        <v>29</v>
      </c>
      <c r="M3" s="55" t="s">
        <v>53</v>
      </c>
      <c r="N3" s="55">
        <f>25.4*(1000/N2-10)</f>
        <v>71.641025641025649</v>
      </c>
    </row>
    <row r="4" spans="1:26" ht="15.75" customHeight="1" x14ac:dyDescent="0.25">
      <c r="A4" s="56" t="s">
        <v>98</v>
      </c>
      <c r="B4" s="49">
        <f t="shared" ref="B4:K4" si="1">IF(B3&lt;=0.2*$N$3,0,(B3-0.2*$N$3)^2/(B3+0.8*$N$3))</f>
        <v>0</v>
      </c>
      <c r="C4" s="49">
        <f t="shared" si="1"/>
        <v>0</v>
      </c>
      <c r="D4" s="49">
        <f t="shared" si="1"/>
        <v>0.32264501008769486</v>
      </c>
      <c r="E4" s="49">
        <f t="shared" si="1"/>
        <v>1.1281378542105336</v>
      </c>
      <c r="F4" s="49">
        <f t="shared" si="1"/>
        <v>1.9604493403037082</v>
      </c>
      <c r="G4" s="49">
        <f t="shared" si="1"/>
        <v>2.4939697658015039</v>
      </c>
      <c r="H4" s="49">
        <f t="shared" si="1"/>
        <v>2.4939697658015039</v>
      </c>
      <c r="I4" s="49">
        <f t="shared" si="1"/>
        <v>2.4939697658015039</v>
      </c>
      <c r="J4" s="49">
        <f t="shared" si="1"/>
        <v>2.4939697658015039</v>
      </c>
      <c r="K4" s="49">
        <f t="shared" si="1"/>
        <v>2.4939697658015039</v>
      </c>
    </row>
    <row r="5" spans="1:26" ht="15.75" customHeight="1" x14ac:dyDescent="0.25">
      <c r="A5" s="57" t="s">
        <v>99</v>
      </c>
      <c r="B5" s="49">
        <f>B4</f>
        <v>0</v>
      </c>
      <c r="C5" s="49">
        <f t="shared" ref="C5:K5" si="2">C4-B4</f>
        <v>0</v>
      </c>
      <c r="D5" s="49">
        <f t="shared" si="2"/>
        <v>0.32264501008769486</v>
      </c>
      <c r="E5" s="49">
        <f t="shared" si="2"/>
        <v>0.80549284412283872</v>
      </c>
      <c r="F5" s="49">
        <f t="shared" si="2"/>
        <v>0.83231148609317462</v>
      </c>
      <c r="G5" s="49">
        <f t="shared" si="2"/>
        <v>0.53352042549779566</v>
      </c>
      <c r="H5" s="49">
        <f t="shared" si="2"/>
        <v>0</v>
      </c>
      <c r="I5" s="49">
        <f t="shared" si="2"/>
        <v>0</v>
      </c>
      <c r="J5" s="49">
        <f t="shared" si="2"/>
        <v>0</v>
      </c>
      <c r="K5" s="49">
        <f t="shared" si="2"/>
        <v>0</v>
      </c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Cálculos (grande)</vt:lpstr>
      <vt:lpstr>Cálculos (chica)</vt:lpstr>
      <vt:lpstr>Horton</vt:lpstr>
      <vt:lpstr>Hoja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Ignacio Suarez</cp:lastModifiedBy>
  <dcterms:modified xsi:type="dcterms:W3CDTF">2025-12-17T00:03:05Z</dcterms:modified>
</cp:coreProperties>
</file>